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3D96F028-35E9-4E0C-B09F-C9E5D7CBB572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Ex.excel01" sheetId="1" r:id="rId1"/>
    <sheet name="Ex.excel02" sheetId="2" r:id="rId2"/>
    <sheet name="Ex.excel03" sheetId="3" r:id="rId3"/>
    <sheet name="Ex.excel04" sheetId="4" r:id="rId4"/>
    <sheet name="Base_Limpa" sheetId="5" r:id="rId5"/>
    <sheet name="Registro_Limpez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5" l="1" a="1"/>
  <c r="L2" i="5"/>
  <c r="L3" i="5" a="1"/>
  <c r="L3" i="5"/>
  <c r="L4" i="5" a="1"/>
  <c r="L4" i="5"/>
  <c r="L5" i="5" a="1"/>
  <c r="L5" i="5"/>
  <c r="L6" i="5" a="1"/>
  <c r="L6" i="5"/>
  <c r="L7" i="5" a="1"/>
  <c r="L7" i="5"/>
  <c r="L8" i="5" a="1"/>
  <c r="L8" i="5"/>
  <c r="L9" i="5" a="1"/>
  <c r="L9" i="5"/>
  <c r="L10" i="5" a="1"/>
  <c r="L10" i="5"/>
  <c r="L11" i="5" a="1"/>
  <c r="L11" i="5"/>
  <c r="L12" i="5" a="1"/>
  <c r="L12" i="5"/>
  <c r="L13" i="5" a="1"/>
  <c r="L13" i="5"/>
  <c r="L14" i="5" a="1"/>
  <c r="L14" i="5"/>
  <c r="L15" i="5" a="1"/>
  <c r="L15" i="5"/>
  <c r="L16" i="5" a="1"/>
  <c r="L16" i="5"/>
  <c r="L17" i="5" a="1"/>
  <c r="L17" i="5"/>
  <c r="L18" i="5" a="1"/>
  <c r="L18" i="5"/>
  <c r="L19" i="5" a="1"/>
  <c r="L19" i="5"/>
  <c r="L20" i="5" a="1"/>
  <c r="L20" i="5"/>
  <c r="L21" i="5" a="1"/>
  <c r="L21" i="5"/>
  <c r="L22" i="5" a="1"/>
  <c r="L22" i="5"/>
  <c r="L23" i="5" a="1"/>
  <c r="L23" i="5"/>
  <c r="L24" i="5" a="1"/>
  <c r="L24" i="5"/>
  <c r="L25" i="5" a="1"/>
  <c r="L25" i="5"/>
  <c r="L26" i="5" a="1"/>
  <c r="L26" i="5"/>
  <c r="L27" i="5" a="1"/>
  <c r="L27" i="5"/>
  <c r="L28" i="5" a="1"/>
  <c r="L28" i="5"/>
  <c r="L29" i="5" a="1"/>
  <c r="L29" i="5"/>
  <c r="L30" i="5" a="1"/>
  <c r="L30" i="5"/>
  <c r="L31" i="5" a="1"/>
  <c r="L31" i="5"/>
  <c r="L32" i="5" a="1"/>
  <c r="L32" i="5"/>
  <c r="L33" i="5" a="1"/>
  <c r="L33" i="5"/>
  <c r="L34" i="5" a="1"/>
  <c r="L34" i="5"/>
  <c r="L35" i="5" a="1"/>
  <c r="L35" i="5"/>
  <c r="L36" i="5" a="1"/>
  <c r="L36" i="5"/>
  <c r="L37" i="5" a="1"/>
  <c r="L37" i="5"/>
  <c r="L38" i="5" a="1"/>
  <c r="L38" i="5"/>
  <c r="L39" i="5" a="1"/>
  <c r="L39" i="5"/>
  <c r="L40" i="5" a="1"/>
  <c r="L40" i="5"/>
  <c r="L41" i="5" a="1"/>
  <c r="L41" i="5"/>
  <c r="L42" i="5" a="1"/>
  <c r="L42" i="5"/>
  <c r="L43" i="5" a="1"/>
  <c r="L43" i="5"/>
  <c r="L44" i="5" a="1"/>
  <c r="L44" i="5"/>
  <c r="L45" i="5" a="1"/>
  <c r="L45" i="5"/>
  <c r="L46" i="5" a="1"/>
  <c r="L46" i="5"/>
  <c r="L47" i="5" a="1"/>
  <c r="L47" i="5"/>
  <c r="L48" i="5" a="1"/>
  <c r="L48" i="5"/>
  <c r="L49" i="5" a="1"/>
  <c r="L49" i="5"/>
  <c r="L50" i="5" a="1"/>
  <c r="L50" i="5"/>
  <c r="L51" i="5" a="1"/>
  <c r="L51" i="5"/>
  <c r="L52" i="5" a="1"/>
  <c r="L52" i="5"/>
  <c r="L53" i="5" a="1"/>
  <c r="L53" i="5"/>
  <c r="L54" i="5" a="1"/>
  <c r="L54" i="5"/>
  <c r="L55" i="5" a="1"/>
  <c r="L55" i="5"/>
  <c r="L56" i="5" a="1"/>
  <c r="L56" i="5"/>
  <c r="L57" i="5" a="1"/>
  <c r="L57" i="5"/>
  <c r="L58" i="5" a="1"/>
  <c r="L58" i="5"/>
  <c r="L59" i="5" a="1"/>
  <c r="L59" i="5"/>
  <c r="L60" i="5" a="1"/>
  <c r="L60" i="5"/>
  <c r="L61" i="5" a="1"/>
  <c r="L61" i="5"/>
  <c r="L62" i="5" a="1"/>
  <c r="L62" i="5"/>
  <c r="L63" i="5" a="1"/>
  <c r="L63" i="5"/>
  <c r="L64" i="5" a="1"/>
  <c r="L64" i="5"/>
  <c r="L65" i="5" a="1"/>
  <c r="L65" i="5"/>
  <c r="L66" i="5" a="1"/>
  <c r="L66" i="5"/>
  <c r="L67" i="5" a="1"/>
  <c r="L67" i="5"/>
  <c r="L68" i="5" a="1"/>
  <c r="L68" i="5"/>
  <c r="L69" i="5" a="1"/>
  <c r="L69" i="5"/>
  <c r="L70" i="5" a="1"/>
  <c r="L70" i="5"/>
  <c r="L71" i="5" a="1"/>
  <c r="L71" i="5"/>
  <c r="L72" i="5" a="1"/>
  <c r="L72" i="5"/>
  <c r="L73" i="5" a="1"/>
  <c r="L73" i="5"/>
  <c r="L74" i="5" a="1"/>
  <c r="L74" i="5"/>
  <c r="L75" i="5" a="1"/>
  <c r="L75" i="5"/>
  <c r="L76" i="5" a="1"/>
  <c r="L76" i="5"/>
  <c r="L77" i="5" a="1"/>
  <c r="L77" i="5"/>
  <c r="L78" i="5" a="1"/>
  <c r="L78" i="5"/>
  <c r="L79" i="5" a="1"/>
  <c r="L79" i="5"/>
  <c r="L80" i="5" a="1"/>
  <c r="L80" i="5"/>
  <c r="L81" i="5" a="1"/>
  <c r="L81" i="5"/>
  <c r="L82" i="5" a="1"/>
  <c r="L82" i="5"/>
  <c r="L83" i="5" a="1"/>
  <c r="L83" i="5"/>
  <c r="L84" i="5" a="1"/>
  <c r="L84" i="5"/>
  <c r="L85" i="5" a="1"/>
  <c r="L85" i="5"/>
  <c r="L86" i="5" a="1"/>
  <c r="L86" i="5"/>
  <c r="L87" i="5" a="1"/>
  <c r="L87" i="5"/>
  <c r="L88" i="5" a="1"/>
  <c r="L88" i="5"/>
  <c r="L89" i="5" a="1"/>
  <c r="L89" i="5"/>
  <c r="L90" i="5" a="1"/>
  <c r="L90" i="5"/>
  <c r="L91" i="5" a="1"/>
  <c r="L91" i="5"/>
  <c r="L92" i="5" a="1"/>
  <c r="L92" i="5"/>
  <c r="L93" i="5" a="1"/>
  <c r="L93" i="5"/>
  <c r="L94" i="5" a="1"/>
  <c r="L94" i="5"/>
  <c r="L95" i="5" a="1"/>
  <c r="L95" i="5"/>
  <c r="L96" i="5" a="1"/>
  <c r="L96" i="5"/>
  <c r="L97" i="5" a="1"/>
  <c r="L97" i="5"/>
  <c r="L98" i="5" a="1"/>
  <c r="L98" i="5"/>
  <c r="L99" i="5" a="1"/>
  <c r="L99" i="5"/>
  <c r="L100" i="5" a="1"/>
  <c r="L100" i="5"/>
  <c r="L101" i="5" a="1"/>
  <c r="L101" i="5"/>
  <c r="L102" i="5" a="1"/>
  <c r="L102" i="5"/>
  <c r="L103" i="5" a="1"/>
  <c r="L103" i="5"/>
  <c r="L104" i="5" a="1"/>
  <c r="L104" i="5"/>
  <c r="L105" i="5" a="1"/>
  <c r="L105" i="5"/>
  <c r="L106" i="5" a="1"/>
  <c r="L106" i="5"/>
  <c r="L107" i="5" a="1"/>
  <c r="L107" i="5"/>
  <c r="L108" i="5" a="1"/>
  <c r="L108" i="5"/>
  <c r="L109" i="5" a="1"/>
  <c r="L109" i="5"/>
  <c r="L110" i="5" a="1"/>
  <c r="L110" i="5"/>
  <c r="L111" i="5" a="1"/>
  <c r="L111" i="5"/>
  <c r="L112" i="5" a="1"/>
  <c r="L112" i="5"/>
  <c r="L113" i="5" a="1"/>
  <c r="L113" i="5"/>
  <c r="L114" i="5" a="1"/>
  <c r="L114" i="5"/>
  <c r="L115" i="5" a="1"/>
  <c r="L115" i="5"/>
  <c r="L116" i="5" a="1"/>
  <c r="L116" i="5"/>
  <c r="L117" i="5" a="1"/>
  <c r="L117" i="5"/>
  <c r="L118" i="5" a="1"/>
  <c r="L118" i="5"/>
  <c r="L119" i="5" a="1"/>
  <c r="L119" i="5"/>
  <c r="L120" i="5" a="1"/>
  <c r="L120" i="5"/>
  <c r="L121" i="5" a="1"/>
  <c r="L121" i="5"/>
  <c r="L122" i="5" a="1"/>
  <c r="L122" i="5"/>
  <c r="L123" i="5" a="1"/>
  <c r="L123" i="5"/>
  <c r="L124" i="5" a="1"/>
  <c r="L124" i="5"/>
  <c r="L125" i="5" a="1"/>
  <c r="L125" i="5"/>
  <c r="L126" i="5" a="1"/>
  <c r="L126" i="5"/>
  <c r="L127" i="5" a="1"/>
  <c r="L127" i="5"/>
  <c r="L128" i="5" a="1"/>
  <c r="L128" i="5"/>
  <c r="L129" i="5" a="1"/>
  <c r="L129" i="5"/>
  <c r="L130" i="5" a="1"/>
  <c r="L130" i="5"/>
  <c r="L131" i="5" a="1"/>
  <c r="L131" i="5"/>
  <c r="L132" i="5" a="1"/>
  <c r="L132" i="5"/>
  <c r="L133" i="5" a="1"/>
  <c r="L133" i="5"/>
  <c r="L134" i="5" a="1"/>
  <c r="L134" i="5"/>
  <c r="L135" i="5" a="1"/>
  <c r="L135" i="5"/>
  <c r="L136" i="5" a="1"/>
  <c r="L136" i="5"/>
  <c r="L137" i="5" a="1"/>
  <c r="L137" i="5"/>
  <c r="L138" i="5" a="1"/>
  <c r="L138" i="5"/>
  <c r="L139" i="5" a="1"/>
  <c r="L139" i="5"/>
  <c r="L140" i="5" a="1"/>
  <c r="L140" i="5"/>
  <c r="L141" i="5" a="1"/>
  <c r="L141" i="5"/>
  <c r="L142" i="5" a="1"/>
  <c r="L142" i="5"/>
  <c r="L143" i="5" a="1"/>
  <c r="L143" i="5"/>
  <c r="L144" i="5" a="1"/>
  <c r="L144" i="5"/>
  <c r="L145" i="5" a="1"/>
  <c r="L145" i="5"/>
  <c r="L146" i="5" a="1"/>
  <c r="L146" i="5"/>
  <c r="L147" i="5" a="1"/>
  <c r="L147" i="5"/>
  <c r="L148" i="5" a="1"/>
  <c r="L148" i="5"/>
  <c r="L149" i="5" a="1"/>
  <c r="L149" i="5"/>
  <c r="L150" i="5" a="1"/>
  <c r="L150" i="5"/>
  <c r="L151" i="5" a="1"/>
  <c r="L151" i="5"/>
  <c r="L152" i="5" a="1"/>
  <c r="L152" i="5"/>
  <c r="L153" i="5" a="1"/>
  <c r="L153" i="5"/>
  <c r="L154" i="5" a="1"/>
  <c r="L154" i="5"/>
  <c r="L155" i="5" a="1"/>
  <c r="L155" i="5"/>
  <c r="L156" i="5" a="1"/>
  <c r="L156" i="5"/>
  <c r="L157" i="5" a="1"/>
  <c r="L157" i="5"/>
  <c r="L158" i="5" a="1"/>
  <c r="L158" i="5"/>
  <c r="L159" i="5" a="1"/>
  <c r="L159" i="5"/>
  <c r="L160" i="5" a="1"/>
  <c r="L160" i="5"/>
  <c r="L161" i="5" a="1"/>
  <c r="L161" i="5"/>
  <c r="L162" i="5" a="1"/>
  <c r="L162" i="5"/>
  <c r="L163" i="5" a="1"/>
  <c r="L163" i="5"/>
  <c r="L164" i="5" a="1"/>
  <c r="L164" i="5"/>
  <c r="L165" i="5" a="1"/>
  <c r="L165" i="5"/>
  <c r="L166" i="5" a="1"/>
  <c r="L166" i="5"/>
  <c r="L167" i="5" a="1"/>
  <c r="L167" i="5"/>
  <c r="L168" i="5" a="1"/>
  <c r="L168" i="5"/>
  <c r="L169" i="5" a="1"/>
  <c r="L169" i="5"/>
  <c r="L170" i="5" a="1"/>
  <c r="L170" i="5"/>
  <c r="L171" i="5" a="1"/>
  <c r="L171" i="5"/>
  <c r="L172" i="5" a="1"/>
  <c r="L172" i="5"/>
  <c r="L173" i="5" a="1"/>
  <c r="L173" i="5"/>
  <c r="L174" i="5" a="1"/>
  <c r="L174" i="5"/>
  <c r="L175" i="5" a="1"/>
  <c r="L175" i="5"/>
  <c r="L176" i="5" a="1"/>
  <c r="L176" i="5"/>
  <c r="L177" i="5" a="1"/>
  <c r="L177" i="5"/>
  <c r="L178" i="5" a="1"/>
  <c r="L178" i="5"/>
  <c r="L179" i="5" a="1"/>
  <c r="L179" i="5"/>
  <c r="L180" i="5" a="1"/>
  <c r="L180" i="5"/>
  <c r="L181" i="5" a="1"/>
  <c r="L181" i="5"/>
  <c r="L182" i="5" a="1"/>
  <c r="L182" i="5"/>
  <c r="L183" i="5" a="1"/>
  <c r="L183" i="5"/>
  <c r="L184" i="5" a="1"/>
  <c r="L184" i="5"/>
  <c r="L185" i="5" a="1"/>
  <c r="L185" i="5"/>
  <c r="L186" i="5" a="1"/>
  <c r="L186" i="5"/>
  <c r="L187" i="5" a="1"/>
  <c r="L187" i="5"/>
  <c r="L188" i="5" a="1"/>
  <c r="L188" i="5"/>
  <c r="L189" i="5" a="1"/>
  <c r="L189" i="5"/>
  <c r="L190" i="5" a="1"/>
  <c r="L190" i="5"/>
  <c r="L191" i="5" a="1"/>
  <c r="L191" i="5"/>
  <c r="L192" i="5" a="1"/>
  <c r="L192" i="5"/>
  <c r="L193" i="5" a="1"/>
  <c r="L193" i="5"/>
  <c r="L194" i="5" a="1"/>
  <c r="L194" i="5"/>
  <c r="L195" i="5" a="1"/>
  <c r="L195" i="5"/>
  <c r="L196" i="5" a="1"/>
  <c r="L196" i="5"/>
  <c r="L197" i="5" a="1"/>
  <c r="L197" i="5"/>
  <c r="L198" i="5" a="1"/>
  <c r="L198" i="5"/>
  <c r="L199" i="5" a="1"/>
  <c r="L199" i="5"/>
  <c r="L200" i="5" a="1"/>
  <c r="L200" i="5"/>
  <c r="L201" i="5" a="1"/>
  <c r="L201" i="5"/>
  <c r="L202" i="5" a="1"/>
  <c r="L202" i="5"/>
  <c r="L203" i="5" a="1"/>
  <c r="L203" i="5"/>
  <c r="L204" i="5" a="1"/>
  <c r="L204" i="5"/>
  <c r="L205" i="5" a="1"/>
  <c r="L205" i="5"/>
  <c r="L206" i="5" a="1"/>
  <c r="L206" i="5"/>
  <c r="L207" i="5" a="1"/>
  <c r="L207" i="5"/>
  <c r="L208" i="5" a="1"/>
  <c r="L208" i="5"/>
  <c r="L209" i="5" a="1"/>
  <c r="L209" i="5"/>
  <c r="L210" i="5" a="1"/>
  <c r="L210" i="5"/>
  <c r="L211" i="5" a="1"/>
  <c r="L211" i="5"/>
  <c r="L212" i="5" a="1"/>
  <c r="L212" i="5"/>
  <c r="L213" i="5" a="1"/>
  <c r="L213" i="5"/>
  <c r="L214" i="5" a="1"/>
  <c r="L214" i="5"/>
  <c r="L215" i="5" a="1"/>
  <c r="L215" i="5"/>
  <c r="L216" i="5" a="1"/>
  <c r="L216" i="5"/>
  <c r="L217" i="5" a="1"/>
  <c r="L217" i="5"/>
  <c r="L218" i="5" a="1"/>
  <c r="L218" i="5"/>
  <c r="L219" i="5" a="1"/>
  <c r="L219" i="5"/>
  <c r="L220" i="5" a="1"/>
  <c r="L220" i="5"/>
  <c r="L221" i="5" a="1"/>
  <c r="L221" i="5"/>
  <c r="L222" i="5" a="1"/>
  <c r="L222" i="5"/>
  <c r="L223" i="5" a="1"/>
  <c r="L223" i="5"/>
  <c r="L224" i="5" a="1"/>
  <c r="L224" i="5"/>
  <c r="L225" i="5" a="1"/>
  <c r="L225" i="5"/>
  <c r="L226" i="5" a="1"/>
  <c r="L226" i="5"/>
  <c r="L227" i="5" a="1"/>
  <c r="L227" i="5"/>
  <c r="L228" i="5" a="1"/>
  <c r="L228" i="5"/>
  <c r="L229" i="5" a="1"/>
  <c r="L229" i="5"/>
  <c r="L230" i="5" a="1"/>
  <c r="L230" i="5"/>
  <c r="L231" i="5" a="1"/>
  <c r="L231" i="5"/>
  <c r="L232" i="5" a="1"/>
  <c r="L232" i="5"/>
  <c r="L233" i="5" a="1"/>
  <c r="L233" i="5"/>
  <c r="L234" i="5" a="1"/>
  <c r="L234" i="5"/>
  <c r="L235" i="5" a="1"/>
  <c r="L235" i="5"/>
  <c r="L236" i="5" a="1"/>
  <c r="L236" i="5"/>
  <c r="L237" i="5" a="1"/>
  <c r="L237" i="5"/>
  <c r="L238" i="5" a="1"/>
  <c r="L238" i="5"/>
  <c r="L239" i="5" a="1"/>
  <c r="L239" i="5"/>
  <c r="L240" i="5" a="1"/>
  <c r="L240" i="5"/>
  <c r="L241" i="5" a="1"/>
  <c r="L241" i="5"/>
  <c r="L242" i="5" a="1"/>
  <c r="L242" i="5"/>
  <c r="L243" i="5" a="1"/>
  <c r="L243" i="5"/>
  <c r="L244" i="5" a="1"/>
  <c r="L244" i="5"/>
  <c r="L245" i="5" a="1"/>
  <c r="L245" i="5"/>
  <c r="L246" i="5" a="1"/>
  <c r="L246" i="5"/>
  <c r="L247" i="5" a="1"/>
  <c r="L247" i="5"/>
  <c r="L248" i="5" a="1"/>
  <c r="L248" i="5"/>
  <c r="L249" i="5" a="1"/>
  <c r="L249" i="5"/>
  <c r="L250" i="5" a="1"/>
  <c r="L250" i="5"/>
  <c r="L251" i="5" a="1"/>
  <c r="L251" i="5"/>
  <c r="L252" i="5" a="1"/>
  <c r="L252" i="5"/>
  <c r="L253" i="5" a="1"/>
  <c r="L253" i="5"/>
  <c r="L254" i="5" a="1"/>
  <c r="L254" i="5"/>
  <c r="L255" i="5" a="1"/>
  <c r="L255" i="5"/>
  <c r="L256" i="5" a="1"/>
  <c r="L256" i="5"/>
  <c r="L257" i="5" a="1"/>
  <c r="L257" i="5"/>
  <c r="L258" i="5" a="1"/>
  <c r="L258" i="5"/>
  <c r="L259" i="5" a="1"/>
  <c r="L259" i="5"/>
  <c r="L260" i="5" a="1"/>
  <c r="L260" i="5"/>
  <c r="L261" i="5" a="1"/>
  <c r="L261" i="5"/>
  <c r="L262" i="5" a="1"/>
  <c r="L262" i="5"/>
  <c r="L263" i="5" a="1"/>
  <c r="L263" i="5"/>
  <c r="L264" i="5" a="1"/>
  <c r="L264" i="5"/>
  <c r="L265" i="5" a="1"/>
  <c r="L265" i="5"/>
  <c r="L266" i="5" a="1"/>
  <c r="L266" i="5"/>
  <c r="L267" i="5" a="1"/>
  <c r="L267" i="5"/>
  <c r="L268" i="5" a="1"/>
  <c r="L268" i="5"/>
  <c r="L269" i="5" a="1"/>
  <c r="L269" i="5"/>
  <c r="L270" i="5" a="1"/>
  <c r="L270" i="5"/>
  <c r="L271" i="5" a="1"/>
  <c r="L271" i="5"/>
  <c r="L272" i="5" a="1"/>
  <c r="L272" i="5"/>
  <c r="L273" i="5" a="1"/>
  <c r="L273" i="5"/>
  <c r="L274" i="5" a="1"/>
  <c r="L274" i="5"/>
  <c r="L275" i="5" a="1"/>
  <c r="L275" i="5"/>
  <c r="L276" i="5" a="1"/>
  <c r="L276" i="5"/>
  <c r="L277" i="5" a="1"/>
  <c r="L277" i="5"/>
  <c r="L278" i="5" a="1"/>
  <c r="L278" i="5"/>
  <c r="L279" i="5" a="1"/>
  <c r="L279" i="5"/>
  <c r="L280" i="5" a="1"/>
  <c r="L280" i="5"/>
  <c r="L281" i="5" a="1"/>
  <c r="L281" i="5"/>
  <c r="L282" i="5" a="1"/>
  <c r="L282" i="5"/>
  <c r="L283" i="5" a="1"/>
  <c r="L283" i="5"/>
  <c r="L284" i="5" a="1"/>
  <c r="L284" i="5"/>
  <c r="L285" i="5" a="1"/>
  <c r="L285" i="5"/>
  <c r="L286" i="5" a="1"/>
  <c r="L286" i="5"/>
  <c r="L287" i="5" a="1"/>
  <c r="L287" i="5"/>
  <c r="L288" i="5" a="1"/>
  <c r="L288" i="5"/>
  <c r="L289" i="5" a="1"/>
  <c r="L289" i="5"/>
  <c r="L290" i="5" a="1"/>
  <c r="L290" i="5"/>
  <c r="L291" i="5" a="1"/>
  <c r="L291" i="5"/>
  <c r="L292" i="5" a="1"/>
  <c r="L292" i="5"/>
  <c r="L293" i="5" a="1"/>
  <c r="L293" i="5"/>
  <c r="L294" i="5" a="1"/>
  <c r="L294" i="5"/>
  <c r="L295" i="5" a="1"/>
  <c r="L295" i="5"/>
  <c r="L296" i="5" a="1"/>
  <c r="L296" i="5"/>
  <c r="L297" i="5" a="1"/>
  <c r="L297" i="5"/>
  <c r="L298" i="5" a="1"/>
  <c r="L298" i="5"/>
  <c r="L299" i="5" a="1"/>
  <c r="L299" i="5"/>
  <c r="L300" i="5" a="1"/>
  <c r="L300" i="5"/>
  <c r="L301" i="5" a="1"/>
  <c r="L301" i="5"/>
  <c r="L302" i="5" a="1"/>
  <c r="L302" i="5"/>
  <c r="L303" i="5" a="1"/>
  <c r="L303" i="5"/>
  <c r="L304" i="5" a="1"/>
  <c r="L304" i="5"/>
  <c r="L305" i="5" a="1"/>
  <c r="L305" i="5"/>
  <c r="L306" i="5" a="1"/>
  <c r="L306" i="5"/>
  <c r="L307" i="5" a="1"/>
  <c r="L307" i="5"/>
  <c r="L308" i="5" a="1"/>
  <c r="L308" i="5"/>
  <c r="L309" i="5" a="1"/>
  <c r="L309" i="5"/>
  <c r="L310" i="5" a="1"/>
  <c r="L310" i="5"/>
  <c r="L311" i="5" a="1"/>
  <c r="L311" i="5"/>
  <c r="L312" i="5" a="1"/>
  <c r="L312" i="5"/>
  <c r="L313" i="5" a="1"/>
  <c r="L313" i="5"/>
  <c r="L314" i="5" a="1"/>
  <c r="L314" i="5"/>
  <c r="L315" i="5" a="1"/>
  <c r="L315" i="5"/>
  <c r="L316" i="5" a="1"/>
  <c r="L316" i="5"/>
  <c r="L317" i="5" a="1"/>
  <c r="L317" i="5"/>
  <c r="L318" i="5" a="1"/>
  <c r="L318" i="5"/>
  <c r="L319" i="5" a="1"/>
  <c r="L319" i="5"/>
  <c r="L320" i="5" a="1"/>
  <c r="L320" i="5"/>
  <c r="L321" i="5" a="1"/>
  <c r="L321" i="5"/>
  <c r="L322" i="5" a="1"/>
  <c r="L322" i="5"/>
  <c r="L323" i="5" a="1"/>
  <c r="L323" i="5"/>
  <c r="L324" i="5" a="1"/>
  <c r="L324" i="5"/>
  <c r="L325" i="5" a="1"/>
  <c r="L325" i="5"/>
  <c r="L326" i="5" a="1"/>
  <c r="L326" i="5"/>
  <c r="L327" i="5" a="1"/>
  <c r="L327" i="5"/>
  <c r="L328" i="5" a="1"/>
  <c r="L328" i="5"/>
  <c r="L329" i="5" a="1"/>
  <c r="L329" i="5"/>
  <c r="L330" i="5" a="1"/>
  <c r="L330" i="5"/>
  <c r="L331" i="5" a="1"/>
  <c r="L331" i="5"/>
  <c r="L332" i="5" a="1"/>
  <c r="L332" i="5"/>
  <c r="L333" i="5" a="1"/>
  <c r="L333" i="5"/>
  <c r="L334" i="5" a="1"/>
  <c r="L334" i="5"/>
  <c r="L335" i="5" a="1"/>
  <c r="L335" i="5"/>
  <c r="L336" i="5" a="1"/>
  <c r="L336" i="5"/>
  <c r="L337" i="5" a="1"/>
  <c r="L337" i="5"/>
  <c r="L338" i="5" a="1"/>
  <c r="L338" i="5"/>
  <c r="L339" i="5" a="1"/>
  <c r="L339" i="5"/>
  <c r="L340" i="5" a="1"/>
  <c r="L340" i="5"/>
  <c r="L341" i="5" a="1"/>
  <c r="L341" i="5"/>
  <c r="L342" i="5" a="1"/>
  <c r="L342" i="5"/>
  <c r="L343" i="5" a="1"/>
  <c r="L343" i="5"/>
  <c r="L344" i="5" a="1"/>
  <c r="L344" i="5"/>
  <c r="L345" i="5" a="1"/>
  <c r="L345" i="5"/>
  <c r="L346" i="5" a="1"/>
  <c r="L346" i="5"/>
  <c r="L347" i="5" a="1"/>
  <c r="L347" i="5"/>
  <c r="L348" i="5" a="1"/>
  <c r="L348" i="5"/>
  <c r="L349" i="5" a="1"/>
  <c r="L349" i="5"/>
  <c r="L350" i="5" a="1"/>
  <c r="L350" i="5"/>
  <c r="L351" i="5" a="1"/>
  <c r="L351" i="5"/>
  <c r="L352" i="5" a="1"/>
  <c r="L352" i="5"/>
  <c r="L353" i="5" a="1"/>
  <c r="L353" i="5"/>
  <c r="L354" i="5" a="1"/>
  <c r="L354" i="5"/>
  <c r="L355" i="5" a="1"/>
  <c r="L355" i="5"/>
  <c r="L356" i="5" a="1"/>
  <c r="L356" i="5"/>
  <c r="L357" i="5" a="1"/>
  <c r="L357" i="5"/>
  <c r="L358" i="5" a="1"/>
  <c r="L358" i="5"/>
  <c r="L359" i="5" a="1"/>
  <c r="L359" i="5"/>
  <c r="L360" i="5" a="1"/>
  <c r="L360" i="5"/>
  <c r="L361" i="5" a="1"/>
  <c r="L361" i="5"/>
  <c r="L362" i="5" a="1"/>
  <c r="L362" i="5"/>
  <c r="L363" i="5" a="1"/>
  <c r="L363" i="5"/>
  <c r="L364" i="5" a="1"/>
  <c r="L364" i="5"/>
  <c r="L365" i="5" a="1"/>
  <c r="L365" i="5"/>
  <c r="L366" i="5" a="1"/>
  <c r="L366" i="5"/>
  <c r="L367" i="5" a="1"/>
  <c r="L367" i="5"/>
  <c r="L368" i="5" a="1"/>
  <c r="L368" i="5"/>
  <c r="L369" i="5" a="1"/>
  <c r="L369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M369" i="5"/>
  <c r="O369" i="5" s="1"/>
  <c r="M368" i="5"/>
  <c r="O368" i="5" s="1"/>
  <c r="M367" i="5"/>
  <c r="O367" i="5" s="1"/>
  <c r="M366" i="5"/>
  <c r="O366" i="5" s="1"/>
  <c r="M365" i="5"/>
  <c r="O365" i="5" s="1"/>
  <c r="M364" i="5"/>
  <c r="O364" i="5" s="1"/>
  <c r="M363" i="5"/>
  <c r="O363" i="5" s="1"/>
  <c r="M362" i="5"/>
  <c r="O362" i="5" s="1"/>
  <c r="M361" i="5"/>
  <c r="O361" i="5" s="1"/>
  <c r="M360" i="5"/>
  <c r="O360" i="5" s="1"/>
  <c r="M359" i="5"/>
  <c r="O359" i="5" s="1"/>
  <c r="M358" i="5"/>
  <c r="O358" i="5" s="1"/>
  <c r="M357" i="5"/>
  <c r="O357" i="5" s="1"/>
  <c r="M356" i="5"/>
  <c r="O356" i="5" s="1"/>
  <c r="M355" i="5"/>
  <c r="O355" i="5" s="1"/>
  <c r="M354" i="5"/>
  <c r="O354" i="5" s="1"/>
  <c r="M353" i="5"/>
  <c r="O353" i="5" s="1"/>
  <c r="M352" i="5"/>
  <c r="O352" i="5" s="1"/>
  <c r="M351" i="5"/>
  <c r="O351" i="5" s="1"/>
  <c r="M350" i="5"/>
  <c r="O350" i="5" s="1"/>
  <c r="M349" i="5"/>
  <c r="O349" i="5" s="1"/>
  <c r="M348" i="5"/>
  <c r="O348" i="5" s="1"/>
  <c r="M347" i="5"/>
  <c r="O347" i="5" s="1"/>
  <c r="M346" i="5"/>
  <c r="O346" i="5" s="1"/>
  <c r="M345" i="5"/>
  <c r="O345" i="5" s="1"/>
  <c r="M344" i="5"/>
  <c r="O344" i="5" s="1"/>
  <c r="M343" i="5"/>
  <c r="O343" i="5" s="1"/>
  <c r="M342" i="5"/>
  <c r="O342" i="5" s="1"/>
  <c r="M341" i="5"/>
  <c r="O341" i="5" s="1"/>
  <c r="M340" i="5"/>
  <c r="O340" i="5" s="1"/>
  <c r="M339" i="5"/>
  <c r="O339" i="5" s="1"/>
  <c r="M338" i="5"/>
  <c r="O338" i="5" s="1"/>
  <c r="M337" i="5"/>
  <c r="O337" i="5" s="1"/>
  <c r="M336" i="5"/>
  <c r="O336" i="5" s="1"/>
  <c r="M335" i="5"/>
  <c r="O335" i="5" s="1"/>
  <c r="M334" i="5"/>
  <c r="O334" i="5" s="1"/>
  <c r="M333" i="5"/>
  <c r="O333" i="5" s="1"/>
  <c r="M332" i="5"/>
  <c r="O332" i="5" s="1"/>
  <c r="M331" i="5"/>
  <c r="O331" i="5" s="1"/>
  <c r="M330" i="5"/>
  <c r="O330" i="5" s="1"/>
  <c r="M329" i="5"/>
  <c r="O329" i="5" s="1"/>
  <c r="M328" i="5"/>
  <c r="O328" i="5" s="1"/>
  <c r="M327" i="5"/>
  <c r="O327" i="5" s="1"/>
  <c r="M326" i="5"/>
  <c r="O326" i="5" s="1"/>
  <c r="M325" i="5"/>
  <c r="O325" i="5" s="1"/>
  <c r="M324" i="5"/>
  <c r="O324" i="5" s="1"/>
  <c r="M323" i="5"/>
  <c r="O323" i="5" s="1"/>
  <c r="M322" i="5"/>
  <c r="O322" i="5" s="1"/>
  <c r="M321" i="5"/>
  <c r="O321" i="5" s="1"/>
  <c r="M320" i="5"/>
  <c r="O320" i="5" s="1"/>
  <c r="M319" i="5"/>
  <c r="O319" i="5" s="1"/>
  <c r="M318" i="5"/>
  <c r="O318" i="5" s="1"/>
  <c r="M317" i="5"/>
  <c r="O317" i="5" s="1"/>
  <c r="M316" i="5"/>
  <c r="O316" i="5" s="1"/>
  <c r="M315" i="5"/>
  <c r="O315" i="5" s="1"/>
  <c r="M314" i="5"/>
  <c r="O314" i="5" s="1"/>
  <c r="M313" i="5"/>
  <c r="O313" i="5" s="1"/>
  <c r="M312" i="5"/>
  <c r="O312" i="5" s="1"/>
  <c r="M311" i="5"/>
  <c r="O311" i="5" s="1"/>
  <c r="M310" i="5"/>
  <c r="O310" i="5" s="1"/>
  <c r="M309" i="5"/>
  <c r="O309" i="5" s="1"/>
  <c r="M308" i="5"/>
  <c r="O308" i="5" s="1"/>
  <c r="M307" i="5"/>
  <c r="O307" i="5" s="1"/>
  <c r="M306" i="5"/>
  <c r="O306" i="5" s="1"/>
  <c r="M305" i="5"/>
  <c r="O305" i="5" s="1"/>
  <c r="M304" i="5"/>
  <c r="O304" i="5" s="1"/>
  <c r="M303" i="5"/>
  <c r="O303" i="5" s="1"/>
  <c r="M302" i="5"/>
  <c r="O302" i="5" s="1"/>
  <c r="M301" i="5"/>
  <c r="O301" i="5" s="1"/>
  <c r="M300" i="5"/>
  <c r="O300" i="5" s="1"/>
  <c r="M299" i="5"/>
  <c r="O299" i="5" s="1"/>
  <c r="M298" i="5"/>
  <c r="O298" i="5" s="1"/>
  <c r="M297" i="5"/>
  <c r="O297" i="5" s="1"/>
  <c r="M296" i="5"/>
  <c r="O296" i="5" s="1"/>
  <c r="M295" i="5"/>
  <c r="O295" i="5" s="1"/>
  <c r="M294" i="5"/>
  <c r="O294" i="5" s="1"/>
  <c r="M293" i="5"/>
  <c r="O293" i="5" s="1"/>
  <c r="M292" i="5"/>
  <c r="O292" i="5" s="1"/>
  <c r="M291" i="5"/>
  <c r="O291" i="5" s="1"/>
  <c r="M290" i="5"/>
  <c r="O290" i="5" s="1"/>
  <c r="M289" i="5"/>
  <c r="O289" i="5" s="1"/>
  <c r="M288" i="5"/>
  <c r="O288" i="5" s="1"/>
  <c r="M287" i="5"/>
  <c r="O287" i="5" s="1"/>
  <c r="M286" i="5"/>
  <c r="O286" i="5" s="1"/>
  <c r="M285" i="5"/>
  <c r="O285" i="5" s="1"/>
  <c r="M284" i="5"/>
  <c r="O284" i="5" s="1"/>
  <c r="M283" i="5"/>
  <c r="O283" i="5" s="1"/>
  <c r="M282" i="5"/>
  <c r="O282" i="5" s="1"/>
  <c r="M281" i="5"/>
  <c r="O281" i="5" s="1"/>
  <c r="M280" i="5"/>
  <c r="O280" i="5" s="1"/>
  <c r="M279" i="5"/>
  <c r="O279" i="5" s="1"/>
  <c r="M278" i="5"/>
  <c r="O278" i="5" s="1"/>
  <c r="M277" i="5"/>
  <c r="O277" i="5" s="1"/>
  <c r="M276" i="5"/>
  <c r="O276" i="5" s="1"/>
  <c r="M275" i="5"/>
  <c r="O275" i="5" s="1"/>
  <c r="M274" i="5"/>
  <c r="O274" i="5" s="1"/>
  <c r="M273" i="5"/>
  <c r="O273" i="5" s="1"/>
  <c r="M272" i="5"/>
  <c r="O272" i="5" s="1"/>
  <c r="M271" i="5"/>
  <c r="O271" i="5" s="1"/>
  <c r="M270" i="5"/>
  <c r="O270" i="5" s="1"/>
  <c r="M269" i="5"/>
  <c r="O269" i="5" s="1"/>
  <c r="M268" i="5"/>
  <c r="O268" i="5" s="1"/>
  <c r="M267" i="5"/>
  <c r="O267" i="5" s="1"/>
  <c r="M266" i="5"/>
  <c r="O266" i="5" s="1"/>
  <c r="M265" i="5"/>
  <c r="O265" i="5" s="1"/>
  <c r="M264" i="5"/>
  <c r="O264" i="5" s="1"/>
  <c r="M263" i="5"/>
  <c r="O263" i="5" s="1"/>
  <c r="M262" i="5"/>
  <c r="O262" i="5" s="1"/>
  <c r="M261" i="5"/>
  <c r="O261" i="5" s="1"/>
  <c r="M260" i="5"/>
  <c r="O260" i="5" s="1"/>
  <c r="M259" i="5"/>
  <c r="O259" i="5" s="1"/>
  <c r="M258" i="5"/>
  <c r="O258" i="5" s="1"/>
  <c r="M257" i="5"/>
  <c r="O257" i="5" s="1"/>
  <c r="M256" i="5"/>
  <c r="O256" i="5" s="1"/>
  <c r="M255" i="5"/>
  <c r="O255" i="5" s="1"/>
  <c r="M254" i="5"/>
  <c r="O254" i="5" s="1"/>
  <c r="M253" i="5"/>
  <c r="O253" i="5" s="1"/>
  <c r="M252" i="5"/>
  <c r="O252" i="5" s="1"/>
  <c r="M251" i="5"/>
  <c r="O251" i="5" s="1"/>
  <c r="M250" i="5"/>
  <c r="O250" i="5" s="1"/>
  <c r="M249" i="5"/>
  <c r="O249" i="5" s="1"/>
  <c r="M248" i="5"/>
  <c r="O248" i="5" s="1"/>
  <c r="M247" i="5"/>
  <c r="O247" i="5" s="1"/>
  <c r="M246" i="5"/>
  <c r="O246" i="5" s="1"/>
  <c r="M245" i="5"/>
  <c r="O245" i="5" s="1"/>
  <c r="M244" i="5"/>
  <c r="O244" i="5" s="1"/>
  <c r="M243" i="5"/>
  <c r="O243" i="5" s="1"/>
  <c r="M242" i="5"/>
  <c r="O242" i="5" s="1"/>
  <c r="M241" i="5"/>
  <c r="O241" i="5" s="1"/>
  <c r="M240" i="5"/>
  <c r="O240" i="5" s="1"/>
  <c r="M239" i="5"/>
  <c r="O239" i="5" s="1"/>
  <c r="M238" i="5"/>
  <c r="O238" i="5" s="1"/>
  <c r="M237" i="5"/>
  <c r="O237" i="5" s="1"/>
  <c r="M236" i="5"/>
  <c r="O236" i="5" s="1"/>
  <c r="M235" i="5"/>
  <c r="O235" i="5" s="1"/>
  <c r="M234" i="5"/>
  <c r="O234" i="5" s="1"/>
  <c r="M233" i="5"/>
  <c r="O233" i="5" s="1"/>
  <c r="M232" i="5"/>
  <c r="O232" i="5" s="1"/>
  <c r="M231" i="5"/>
  <c r="O231" i="5" s="1"/>
  <c r="M230" i="5"/>
  <c r="O230" i="5" s="1"/>
  <c r="M229" i="5"/>
  <c r="O229" i="5" s="1"/>
  <c r="M228" i="5"/>
  <c r="O228" i="5" s="1"/>
  <c r="M227" i="5"/>
  <c r="O227" i="5" s="1"/>
  <c r="M226" i="5"/>
  <c r="O226" i="5" s="1"/>
  <c r="M225" i="5"/>
  <c r="O225" i="5" s="1"/>
  <c r="M224" i="5"/>
  <c r="O224" i="5" s="1"/>
  <c r="M223" i="5"/>
  <c r="O223" i="5" s="1"/>
  <c r="M222" i="5"/>
  <c r="O222" i="5" s="1"/>
  <c r="M221" i="5"/>
  <c r="O221" i="5" s="1"/>
  <c r="M220" i="5"/>
  <c r="O220" i="5" s="1"/>
  <c r="M219" i="5"/>
  <c r="O219" i="5" s="1"/>
  <c r="M218" i="5"/>
  <c r="O218" i="5" s="1"/>
  <c r="M217" i="5"/>
  <c r="O217" i="5" s="1"/>
  <c r="M216" i="5"/>
  <c r="O216" i="5" s="1"/>
  <c r="M215" i="5"/>
  <c r="O215" i="5" s="1"/>
  <c r="M214" i="5"/>
  <c r="O214" i="5" s="1"/>
  <c r="M213" i="5"/>
  <c r="O213" i="5" s="1"/>
  <c r="M212" i="5"/>
  <c r="O212" i="5" s="1"/>
  <c r="M211" i="5"/>
  <c r="O211" i="5" s="1"/>
  <c r="M210" i="5"/>
  <c r="O210" i="5" s="1"/>
  <c r="M209" i="5"/>
  <c r="O209" i="5" s="1"/>
  <c r="M208" i="5"/>
  <c r="O208" i="5" s="1"/>
  <c r="M207" i="5"/>
  <c r="O207" i="5" s="1"/>
  <c r="M206" i="5"/>
  <c r="O206" i="5" s="1"/>
  <c r="M205" i="5"/>
  <c r="O205" i="5" s="1"/>
  <c r="M204" i="5"/>
  <c r="O204" i="5" s="1"/>
  <c r="M203" i="5"/>
  <c r="O203" i="5" s="1"/>
  <c r="M202" i="5"/>
  <c r="O202" i="5" s="1"/>
  <c r="M201" i="5"/>
  <c r="O201" i="5" s="1"/>
  <c r="M200" i="5"/>
  <c r="O200" i="5" s="1"/>
  <c r="M199" i="5"/>
  <c r="O199" i="5" s="1"/>
  <c r="M198" i="5"/>
  <c r="O198" i="5" s="1"/>
  <c r="M197" i="5"/>
  <c r="O197" i="5" s="1"/>
  <c r="M196" i="5"/>
  <c r="O196" i="5" s="1"/>
  <c r="M195" i="5"/>
  <c r="O195" i="5" s="1"/>
  <c r="M194" i="5"/>
  <c r="O194" i="5" s="1"/>
  <c r="M193" i="5"/>
  <c r="O193" i="5" s="1"/>
  <c r="M192" i="5"/>
  <c r="O192" i="5" s="1"/>
  <c r="M191" i="5"/>
  <c r="O191" i="5" s="1"/>
  <c r="M190" i="5"/>
  <c r="O190" i="5" s="1"/>
  <c r="M189" i="5"/>
  <c r="O189" i="5" s="1"/>
  <c r="M188" i="5"/>
  <c r="O188" i="5" s="1"/>
  <c r="M187" i="5"/>
  <c r="O187" i="5" s="1"/>
  <c r="M186" i="5"/>
  <c r="O186" i="5" s="1"/>
  <c r="M185" i="5"/>
  <c r="O185" i="5" s="1"/>
  <c r="M184" i="5"/>
  <c r="O184" i="5" s="1"/>
  <c r="M183" i="5"/>
  <c r="O183" i="5" s="1"/>
  <c r="M182" i="5"/>
  <c r="O182" i="5" s="1"/>
  <c r="M181" i="5"/>
  <c r="O181" i="5" s="1"/>
  <c r="M180" i="5"/>
  <c r="O180" i="5" s="1"/>
  <c r="M179" i="5"/>
  <c r="O179" i="5" s="1"/>
  <c r="M178" i="5"/>
  <c r="O178" i="5" s="1"/>
  <c r="M177" i="5"/>
  <c r="O177" i="5" s="1"/>
  <c r="M176" i="5"/>
  <c r="O176" i="5" s="1"/>
  <c r="M175" i="5"/>
  <c r="O175" i="5" s="1"/>
  <c r="M174" i="5"/>
  <c r="O174" i="5" s="1"/>
  <c r="M173" i="5"/>
  <c r="O173" i="5" s="1"/>
  <c r="M172" i="5"/>
  <c r="O172" i="5" s="1"/>
  <c r="M171" i="5"/>
  <c r="O171" i="5" s="1"/>
  <c r="M170" i="5"/>
  <c r="O170" i="5" s="1"/>
  <c r="M169" i="5"/>
  <c r="O169" i="5" s="1"/>
  <c r="M168" i="5"/>
  <c r="O168" i="5" s="1"/>
  <c r="M167" i="5"/>
  <c r="O167" i="5" s="1"/>
  <c r="M166" i="5"/>
  <c r="O166" i="5" s="1"/>
  <c r="M165" i="5"/>
  <c r="O165" i="5" s="1"/>
  <c r="M164" i="5"/>
  <c r="O164" i="5" s="1"/>
  <c r="M163" i="5"/>
  <c r="O163" i="5" s="1"/>
  <c r="M162" i="5"/>
  <c r="O162" i="5" s="1"/>
  <c r="M161" i="5"/>
  <c r="O161" i="5" s="1"/>
  <c r="M160" i="5"/>
  <c r="O160" i="5" s="1"/>
  <c r="M159" i="5"/>
  <c r="O159" i="5" s="1"/>
  <c r="M158" i="5"/>
  <c r="O158" i="5" s="1"/>
  <c r="M157" i="5"/>
  <c r="O157" i="5" s="1"/>
  <c r="M156" i="5"/>
  <c r="O156" i="5" s="1"/>
  <c r="M155" i="5"/>
  <c r="O155" i="5" s="1"/>
  <c r="M154" i="5"/>
  <c r="O154" i="5" s="1"/>
  <c r="M153" i="5"/>
  <c r="O153" i="5" s="1"/>
  <c r="M152" i="5"/>
  <c r="O152" i="5" s="1"/>
  <c r="M151" i="5"/>
  <c r="O151" i="5" s="1"/>
  <c r="M150" i="5"/>
  <c r="O150" i="5" s="1"/>
  <c r="M149" i="5"/>
  <c r="O149" i="5" s="1"/>
  <c r="M148" i="5"/>
  <c r="O148" i="5" s="1"/>
  <c r="M147" i="5"/>
  <c r="O147" i="5" s="1"/>
  <c r="M146" i="5"/>
  <c r="O146" i="5" s="1"/>
  <c r="M145" i="5"/>
  <c r="O145" i="5" s="1"/>
  <c r="M144" i="5"/>
  <c r="O144" i="5" s="1"/>
  <c r="M143" i="5"/>
  <c r="O143" i="5" s="1"/>
  <c r="M142" i="5"/>
  <c r="O142" i="5" s="1"/>
  <c r="M141" i="5"/>
  <c r="O141" i="5" s="1"/>
  <c r="M140" i="5"/>
  <c r="O140" i="5" s="1"/>
  <c r="M139" i="5"/>
  <c r="O139" i="5" s="1"/>
  <c r="M138" i="5"/>
  <c r="O138" i="5" s="1"/>
  <c r="M137" i="5"/>
  <c r="O137" i="5" s="1"/>
  <c r="M136" i="5"/>
  <c r="O136" i="5" s="1"/>
  <c r="M135" i="5"/>
  <c r="O135" i="5" s="1"/>
  <c r="M134" i="5"/>
  <c r="O134" i="5" s="1"/>
  <c r="M133" i="5"/>
  <c r="O133" i="5" s="1"/>
  <c r="M132" i="5"/>
  <c r="O132" i="5" s="1"/>
  <c r="M131" i="5"/>
  <c r="O131" i="5" s="1"/>
  <c r="M130" i="5"/>
  <c r="O130" i="5" s="1"/>
  <c r="M129" i="5"/>
  <c r="O129" i="5" s="1"/>
  <c r="M128" i="5"/>
  <c r="O128" i="5" s="1"/>
  <c r="M127" i="5"/>
  <c r="O127" i="5" s="1"/>
  <c r="M126" i="5"/>
  <c r="O126" i="5" s="1"/>
  <c r="M125" i="5"/>
  <c r="O125" i="5" s="1"/>
  <c r="M124" i="5"/>
  <c r="O124" i="5" s="1"/>
  <c r="M123" i="5"/>
  <c r="O123" i="5" s="1"/>
  <c r="M122" i="5"/>
  <c r="O122" i="5" s="1"/>
  <c r="M121" i="5"/>
  <c r="O121" i="5" s="1"/>
  <c r="M120" i="5"/>
  <c r="O120" i="5" s="1"/>
  <c r="M119" i="5"/>
  <c r="O119" i="5" s="1"/>
  <c r="M118" i="5"/>
  <c r="O118" i="5" s="1"/>
  <c r="M117" i="5"/>
  <c r="O117" i="5" s="1"/>
  <c r="M116" i="5"/>
  <c r="O116" i="5" s="1"/>
  <c r="M115" i="5"/>
  <c r="O115" i="5" s="1"/>
  <c r="M114" i="5"/>
  <c r="O114" i="5" s="1"/>
  <c r="M113" i="5"/>
  <c r="O113" i="5" s="1"/>
  <c r="M112" i="5"/>
  <c r="O112" i="5" s="1"/>
  <c r="M111" i="5"/>
  <c r="O111" i="5" s="1"/>
  <c r="M110" i="5"/>
  <c r="O110" i="5" s="1"/>
  <c r="M109" i="5"/>
  <c r="O109" i="5" s="1"/>
  <c r="M108" i="5"/>
  <c r="O108" i="5" s="1"/>
  <c r="M107" i="5"/>
  <c r="O107" i="5" s="1"/>
  <c r="M106" i="5"/>
  <c r="O106" i="5" s="1"/>
  <c r="M105" i="5"/>
  <c r="O105" i="5" s="1"/>
  <c r="M104" i="5"/>
  <c r="O104" i="5" s="1"/>
  <c r="M103" i="5"/>
  <c r="O103" i="5" s="1"/>
  <c r="M102" i="5"/>
  <c r="O102" i="5" s="1"/>
  <c r="M101" i="5"/>
  <c r="O101" i="5" s="1"/>
  <c r="M100" i="5"/>
  <c r="O100" i="5" s="1"/>
  <c r="M99" i="5"/>
  <c r="O99" i="5" s="1"/>
  <c r="M98" i="5"/>
  <c r="O98" i="5" s="1"/>
  <c r="M97" i="5"/>
  <c r="O97" i="5" s="1"/>
  <c r="M96" i="5"/>
  <c r="O96" i="5" s="1"/>
  <c r="M95" i="5"/>
  <c r="O95" i="5" s="1"/>
  <c r="M94" i="5"/>
  <c r="O94" i="5" s="1"/>
  <c r="M93" i="5"/>
  <c r="O93" i="5" s="1"/>
  <c r="M92" i="5"/>
  <c r="O92" i="5" s="1"/>
  <c r="M91" i="5"/>
  <c r="O91" i="5" s="1"/>
  <c r="M90" i="5"/>
  <c r="O90" i="5" s="1"/>
  <c r="M89" i="5"/>
  <c r="O89" i="5" s="1"/>
  <c r="M88" i="5"/>
  <c r="O88" i="5" s="1"/>
  <c r="M87" i="5"/>
  <c r="O87" i="5" s="1"/>
  <c r="M86" i="5"/>
  <c r="O86" i="5" s="1"/>
  <c r="M85" i="5"/>
  <c r="O85" i="5" s="1"/>
  <c r="M84" i="5"/>
  <c r="O84" i="5" s="1"/>
  <c r="M83" i="5"/>
  <c r="O83" i="5" s="1"/>
  <c r="M82" i="5"/>
  <c r="O82" i="5" s="1"/>
  <c r="M81" i="5"/>
  <c r="O81" i="5" s="1"/>
  <c r="M80" i="5"/>
  <c r="O80" i="5" s="1"/>
  <c r="M79" i="5"/>
  <c r="O79" i="5" s="1"/>
  <c r="M78" i="5"/>
  <c r="O78" i="5" s="1"/>
  <c r="M77" i="5"/>
  <c r="O77" i="5" s="1"/>
  <c r="M76" i="5"/>
  <c r="O76" i="5" s="1"/>
  <c r="M75" i="5"/>
  <c r="O75" i="5" s="1"/>
  <c r="M74" i="5"/>
  <c r="O74" i="5" s="1"/>
  <c r="M73" i="5"/>
  <c r="O73" i="5" s="1"/>
  <c r="M72" i="5"/>
  <c r="O72" i="5" s="1"/>
  <c r="M71" i="5"/>
  <c r="O71" i="5" s="1"/>
  <c r="M70" i="5"/>
  <c r="O70" i="5" s="1"/>
  <c r="M69" i="5"/>
  <c r="O69" i="5" s="1"/>
  <c r="M68" i="5"/>
  <c r="O68" i="5" s="1"/>
  <c r="M67" i="5"/>
  <c r="O67" i="5" s="1"/>
  <c r="M66" i="5"/>
  <c r="O66" i="5" s="1"/>
  <c r="M65" i="5"/>
  <c r="O65" i="5" s="1"/>
  <c r="M64" i="5"/>
  <c r="O64" i="5" s="1"/>
  <c r="M63" i="5"/>
  <c r="O63" i="5" s="1"/>
  <c r="M62" i="5"/>
  <c r="O62" i="5" s="1"/>
  <c r="M61" i="5"/>
  <c r="O61" i="5" s="1"/>
  <c r="M60" i="5"/>
  <c r="O60" i="5" s="1"/>
  <c r="M59" i="5"/>
  <c r="O59" i="5" s="1"/>
  <c r="M58" i="5"/>
  <c r="O58" i="5" s="1"/>
  <c r="M57" i="5"/>
  <c r="O57" i="5" s="1"/>
  <c r="M56" i="5"/>
  <c r="O56" i="5" s="1"/>
  <c r="M55" i="5"/>
  <c r="O55" i="5" s="1"/>
  <c r="M54" i="5"/>
  <c r="O54" i="5" s="1"/>
  <c r="M53" i="5"/>
  <c r="O53" i="5" s="1"/>
  <c r="M52" i="5"/>
  <c r="O52" i="5" s="1"/>
  <c r="M51" i="5"/>
  <c r="O51" i="5" s="1"/>
  <c r="M50" i="5"/>
  <c r="O50" i="5" s="1"/>
  <c r="M49" i="5"/>
  <c r="O49" i="5" s="1"/>
  <c r="M48" i="5"/>
  <c r="O48" i="5" s="1"/>
  <c r="M47" i="5"/>
  <c r="O47" i="5" s="1"/>
  <c r="M46" i="5"/>
  <c r="O46" i="5" s="1"/>
  <c r="M45" i="5"/>
  <c r="O45" i="5" s="1"/>
  <c r="M44" i="5"/>
  <c r="O44" i="5" s="1"/>
  <c r="M43" i="5"/>
  <c r="O43" i="5" s="1"/>
  <c r="M42" i="5"/>
  <c r="O42" i="5" s="1"/>
  <c r="M41" i="5"/>
  <c r="O41" i="5" s="1"/>
  <c r="M40" i="5"/>
  <c r="O40" i="5" s="1"/>
  <c r="M39" i="5"/>
  <c r="O39" i="5" s="1"/>
  <c r="M38" i="5"/>
  <c r="O38" i="5" s="1"/>
  <c r="M37" i="5"/>
  <c r="O37" i="5" s="1"/>
  <c r="M36" i="5"/>
  <c r="O36" i="5" s="1"/>
  <c r="M35" i="5"/>
  <c r="O35" i="5" s="1"/>
  <c r="M34" i="5"/>
  <c r="O34" i="5" s="1"/>
  <c r="M33" i="5"/>
  <c r="O33" i="5" s="1"/>
  <c r="M32" i="5"/>
  <c r="O32" i="5" s="1"/>
  <c r="M31" i="5"/>
  <c r="O31" i="5" s="1"/>
  <c r="M30" i="5"/>
  <c r="O30" i="5" s="1"/>
  <c r="M29" i="5"/>
  <c r="O29" i="5" s="1"/>
  <c r="M28" i="5"/>
  <c r="O28" i="5" s="1"/>
  <c r="M27" i="5"/>
  <c r="O27" i="5" s="1"/>
  <c r="M26" i="5"/>
  <c r="O26" i="5" s="1"/>
  <c r="M25" i="5"/>
  <c r="O25" i="5" s="1"/>
  <c r="M24" i="5"/>
  <c r="O24" i="5" s="1"/>
  <c r="M23" i="5"/>
  <c r="O23" i="5" s="1"/>
  <c r="M22" i="5"/>
  <c r="O22" i="5" s="1"/>
  <c r="M21" i="5"/>
  <c r="O21" i="5" s="1"/>
  <c r="M20" i="5"/>
  <c r="O20" i="5" s="1"/>
  <c r="M19" i="5"/>
  <c r="O19" i="5" s="1"/>
  <c r="M18" i="5"/>
  <c r="O18" i="5" s="1"/>
  <c r="M17" i="5"/>
  <c r="O17" i="5" s="1"/>
  <c r="M16" i="5"/>
  <c r="O16" i="5" s="1"/>
  <c r="M15" i="5"/>
  <c r="O15" i="5" s="1"/>
  <c r="M14" i="5"/>
  <c r="O14" i="5" s="1"/>
  <c r="M13" i="5"/>
  <c r="O13" i="5" s="1"/>
  <c r="M12" i="5"/>
  <c r="O12" i="5" s="1"/>
  <c r="M11" i="5"/>
  <c r="O11" i="5" s="1"/>
  <c r="M10" i="5"/>
  <c r="O10" i="5" s="1"/>
  <c r="M9" i="5"/>
  <c r="O9" i="5" s="1"/>
  <c r="M8" i="5"/>
  <c r="O8" i="5" s="1"/>
  <c r="M7" i="5"/>
  <c r="O7" i="5" s="1"/>
  <c r="M6" i="5"/>
  <c r="O6" i="5" s="1"/>
  <c r="M5" i="5"/>
  <c r="O5" i="5" s="1"/>
  <c r="M4" i="5"/>
  <c r="O4" i="5" s="1"/>
  <c r="M3" i="5"/>
  <c r="O3" i="5" s="1"/>
  <c r="M2" i="5"/>
  <c r="O2" i="5" s="1"/>
  <c r="F2" i="4"/>
  <c r="D2" i="2"/>
  <c r="F3" i="4"/>
  <c r="F4" i="4"/>
  <c r="F5" i="4"/>
  <c r="F6" i="4"/>
  <c r="F2" i="3"/>
  <c r="G2" i="3" s="1"/>
  <c r="F3" i="3"/>
  <c r="G3" i="3" s="1"/>
  <c r="F4" i="3"/>
  <c r="G4" i="3" s="1"/>
  <c r="F5" i="3"/>
  <c r="G5" i="3" s="1"/>
  <c r="F6" i="3"/>
  <c r="G6" i="3" s="1"/>
  <c r="D7" i="2"/>
  <c r="D6" i="2"/>
  <c r="D5" i="2"/>
  <c r="D4" i="2"/>
  <c r="D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<sst xmlns="http://schemas.openxmlformats.org/spreadsheetml/2006/main" count="2430" uniqueCount="838">
  <si>
    <t>ID_Produtos</t>
  </si>
  <si>
    <t>Tipo_de_Cafe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</si>
  <si>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</si>
  <si>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</si>
  <si>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</si>
  <si>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</si>
  <si>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</si>
  <si>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</si>
  <si>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</si>
  <si>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</si>
  <si>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</si>
  <si>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Funcionário</t>
  </si>
  <si>
    <t>Produto</t>
  </si>
  <si>
    <t>Vendas</t>
  </si>
  <si>
    <t>Resultado</t>
  </si>
  <si>
    <t>Albina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</si>
  <si>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</si>
  <si>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</si>
  <si>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</si>
  <si>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</si>
  <si>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</si>
  <si>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</si>
  <si>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</si>
  <si>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</si>
  <si>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</si>
  <si>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</si>
  <si>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</si>
  <si>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RA</t>
  </si>
  <si>
    <t>Nome do Aluno</t>
  </si>
  <si>
    <t>Nota 1 Trimestre</t>
  </si>
  <si>
    <t>Nota 2 Trimestre</t>
  </si>
  <si>
    <t>Nota 3 Trimestre</t>
  </si>
  <si>
    <t>Média Final</t>
  </si>
  <si>
    <t>Astro</t>
  </si>
  <si>
    <t>Celeste</t>
  </si>
  <si>
    <t>Elvira</t>
  </si>
  <si>
    <t>Homer</t>
  </si>
  <si>
    <t>Chevrolet da Silva</t>
  </si>
  <si>
    <t>Nome</t>
  </si>
  <si>
    <t>Idade</t>
  </si>
  <si>
    <t>Ensino Médio</t>
  </si>
  <si>
    <t>Curso Técnico</t>
  </si>
  <si>
    <t>Anos de Experiencia na área</t>
  </si>
  <si>
    <t>Situação</t>
  </si>
  <si>
    <t>Alfa Romeu Julia</t>
  </si>
  <si>
    <t>Não</t>
  </si>
  <si>
    <t>Sim</t>
  </si>
  <si>
    <t>Fusclaudia de Oliveira</t>
  </si>
  <si>
    <t>Unotavio dos Santos</t>
  </si>
  <si>
    <t>Nissan Silva</t>
  </si>
  <si>
    <t>Ferrari Enzo</t>
  </si>
  <si>
    <t>SIm</t>
  </si>
  <si>
    <t>não entenndi como eu deveria incorporar o =OU na fórmula.</t>
  </si>
  <si>
    <t>Caso ele fosse adicionado, não compriria os papéis da análise,</t>
  </si>
  <si>
    <t>No caso, os requisitos de ensino médio e do curso completo</t>
  </si>
  <si>
    <t>status</t>
  </si>
  <si>
    <t>nome</t>
  </si>
  <si>
    <t>cpf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</si>
  <si>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</si>
  <si>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</si>
  <si>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</si>
  <si>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</si>
  <si>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</si>
  <si>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</si>
  <si>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</si>
  <si>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</si>
  <si>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</si>
  <si>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analise_risco</t>
  </si>
  <si>
    <t>analise_credito</t>
  </si>
  <si>
    <t>liberação_de_credito</t>
  </si>
  <si>
    <t>valor_solicitado</t>
  </si>
  <si>
    <t>Ativo</t>
  </si>
  <si>
    <t>Aegon Baelish</t>
  </si>
  <si>
    <t>000.000.240-00</t>
  </si>
  <si>
    <t>Meereen</t>
  </si>
  <si>
    <t>Essos</t>
  </si>
  <si>
    <t>Aegon Blackwood</t>
  </si>
  <si>
    <t>000.000.118-00</t>
  </si>
  <si>
    <t>Jardim de Cima</t>
  </si>
  <si>
    <t>Campina</t>
  </si>
  <si>
    <t>NULL</t>
  </si>
  <si>
    <t>Aegon Bracken</t>
  </si>
  <si>
    <t>000.000.244-00</t>
  </si>
  <si>
    <t>Correrrio</t>
  </si>
  <si>
    <t>Terras Fluviais</t>
  </si>
  <si>
    <t>Inativo</t>
  </si>
  <si>
    <t>Aegon Florent</t>
  </si>
  <si>
    <t>000.000.271-00</t>
  </si>
  <si>
    <t>Aegon Frey</t>
  </si>
  <si>
    <t>000.000.338-00</t>
  </si>
  <si>
    <t>Dorne</t>
  </si>
  <si>
    <t>Aegon Hornwood</t>
  </si>
  <si>
    <t>000.000.171-00</t>
  </si>
  <si>
    <t>Solar do Entardecer</t>
  </si>
  <si>
    <t>Terras Da Tempestade</t>
  </si>
  <si>
    <t>Aegon Marbrand</t>
  </si>
  <si>
    <t>000.000.352-00</t>
  </si>
  <si>
    <t>Castelo Negro</t>
  </si>
  <si>
    <t>Norte</t>
  </si>
  <si>
    <t>Aegon Redwyne</t>
  </si>
  <si>
    <t>000.000.347-00</t>
  </si>
  <si>
    <t>Pyke</t>
  </si>
  <si>
    <t>Ilhas De Ferro</t>
  </si>
  <si>
    <t>Aegon Umber</t>
  </si>
  <si>
    <t>000.000.356-00</t>
  </si>
  <si>
    <t>Arya Marbrand</t>
  </si>
  <si>
    <t>000.000.133-00</t>
  </si>
  <si>
    <t>Ninho da Águia</t>
  </si>
  <si>
    <t>Vale</t>
  </si>
  <si>
    <t>Arya Redwyne</t>
  </si>
  <si>
    <t>000.000.333-00</t>
  </si>
  <si>
    <t>Asha Arryn</t>
  </si>
  <si>
    <t>000.000.122-00</t>
  </si>
  <si>
    <t>Asha Baratheon</t>
  </si>
  <si>
    <t>000.000.195-00</t>
  </si>
  <si>
    <t>Braavos</t>
  </si>
  <si>
    <t>Asha Blackwood</t>
  </si>
  <si>
    <t>000.000.085-00</t>
  </si>
  <si>
    <t>Asha Bolton</t>
  </si>
  <si>
    <t>000.000.069-00</t>
  </si>
  <si>
    <t>Asha Hornwood</t>
  </si>
  <si>
    <t>000.000.363-00</t>
  </si>
  <si>
    <t>Pedra do Dragão</t>
  </si>
  <si>
    <t>Terras Da Coroa</t>
  </si>
  <si>
    <t>Asha Manderly</t>
  </si>
  <si>
    <t>000.000.357-00</t>
  </si>
  <si>
    <t>Ilha dos Ursos</t>
  </si>
  <si>
    <t>Asha Redwyne</t>
  </si>
  <si>
    <t>000.000.102-00</t>
  </si>
  <si>
    <t>Asha Tallhart</t>
  </si>
  <si>
    <t>000.000.006-00</t>
  </si>
  <si>
    <t>000.000.086-00</t>
  </si>
  <si>
    <t>Beric  Karstark</t>
  </si>
  <si>
    <t>000.000.172-00</t>
  </si>
  <si>
    <t>Beric  Umber</t>
  </si>
  <si>
    <t>Beric Crakehall</t>
  </si>
  <si>
    <t>000.000.067-00</t>
  </si>
  <si>
    <t>Beric Manderly</t>
  </si>
  <si>
    <t>000.000.243-00</t>
  </si>
  <si>
    <t>Lannisporto</t>
  </si>
  <si>
    <t>Oeste</t>
  </si>
  <si>
    <t>Beric Seaworth</t>
  </si>
  <si>
    <t>000.000.025-00</t>
  </si>
  <si>
    <t>Beric Tallhart</t>
  </si>
  <si>
    <t>000.000.291-00</t>
  </si>
  <si>
    <t>Beric Tyrell</t>
  </si>
  <si>
    <t>000.000.103-00</t>
  </si>
  <si>
    <t>Fosso Cailin</t>
  </si>
  <si>
    <t>000.000.242-00</t>
  </si>
  <si>
    <t>Vilavelha</t>
  </si>
  <si>
    <t>Bran Bolton</t>
  </si>
  <si>
    <t>000.000.003-00</t>
  </si>
  <si>
    <t>Porto Real</t>
  </si>
  <si>
    <t>Bran Dayne</t>
  </si>
  <si>
    <t>000.000.288-00</t>
  </si>
  <si>
    <t>Bran Dondarrion</t>
  </si>
  <si>
    <t>000.000.049-00</t>
  </si>
  <si>
    <t>Bran Florent</t>
  </si>
  <si>
    <t>000.000.218-00</t>
  </si>
  <si>
    <t>Bran Frey</t>
  </si>
  <si>
    <t>000.000.189-00</t>
  </si>
  <si>
    <t>Bran Karstark</t>
  </si>
  <si>
    <t>000.000.241-00</t>
  </si>
  <si>
    <t>Bran Tarly</t>
  </si>
  <si>
    <t>000.000.269-00</t>
  </si>
  <si>
    <t>Bran Umber</t>
  </si>
  <si>
    <t>000.000.132-00</t>
  </si>
  <si>
    <t>Bran Yronwood</t>
  </si>
  <si>
    <t>000.000.057-00</t>
  </si>
  <si>
    <t>Brienne Dayne</t>
  </si>
  <si>
    <t>000.000.070-00</t>
  </si>
  <si>
    <t>Brienne Dondarrion</t>
  </si>
  <si>
    <t>000.000.256-00</t>
  </si>
  <si>
    <t>Brienne Glover</t>
  </si>
  <si>
    <t>000.000.355-00</t>
  </si>
  <si>
    <t>Brienne Karstark</t>
  </si>
  <si>
    <t>000.000.031-00</t>
  </si>
  <si>
    <t>Brienne Mallister</t>
  </si>
  <si>
    <t>000.000.202-00</t>
  </si>
  <si>
    <t>Brienne Manderly</t>
  </si>
  <si>
    <t>000.000.140-00</t>
  </si>
  <si>
    <t>000.000.076-00</t>
  </si>
  <si>
    <t>Brienne Reed</t>
  </si>
  <si>
    <t>000.000.306-00</t>
  </si>
  <si>
    <t>Brienne Royce</t>
  </si>
  <si>
    <t>000.000.108-00</t>
  </si>
  <si>
    <t>Brienne Westerling</t>
  </si>
  <si>
    <t>000.000.379-00</t>
  </si>
  <si>
    <t>Atalaia da Água Cinzenta</t>
  </si>
  <si>
    <t>Bronn Arryn</t>
  </si>
  <si>
    <t>000.000.016-00</t>
  </si>
  <si>
    <t>Bronn Baratheon</t>
  </si>
  <si>
    <t>000.000.325-00</t>
  </si>
  <si>
    <t>Bronn Blackwood</t>
  </si>
  <si>
    <t>000.000.052-00</t>
  </si>
  <si>
    <t>Gargalo</t>
  </si>
  <si>
    <t>Bronn Bolton</t>
  </si>
  <si>
    <t>000.000.143-00</t>
  </si>
  <si>
    <t>Harrenhal</t>
  </si>
  <si>
    <t>Bronn Crakehall</t>
  </si>
  <si>
    <t>000.000.295-00</t>
  </si>
  <si>
    <t>Bronn Dondarrion</t>
  </si>
  <si>
    <t>000.000.036-00</t>
  </si>
  <si>
    <t>Bronn Mallister</t>
  </si>
  <si>
    <t>000.000.200-00</t>
  </si>
  <si>
    <t>Bronn Manderly</t>
  </si>
  <si>
    <t>000.000.074-00</t>
  </si>
  <si>
    <t>Bronn Royce</t>
  </si>
  <si>
    <t>000.000.369-00</t>
  </si>
  <si>
    <t>Bronn Stark</t>
  </si>
  <si>
    <t>000.000.313-00</t>
  </si>
  <si>
    <t>null</t>
  </si>
  <si>
    <t>Bronn Umber</t>
  </si>
  <si>
    <t>000.000.177-00</t>
  </si>
  <si>
    <t>Catelyn  Dayne</t>
  </si>
  <si>
    <t>000.000.213-00</t>
  </si>
  <si>
    <t>Ponta Tempestade</t>
  </si>
  <si>
    <t>Catelyn Cerwyn</t>
  </si>
  <si>
    <t>000.000.308-00</t>
  </si>
  <si>
    <t>Catelyn Lannister</t>
  </si>
  <si>
    <t>000.000.110-00</t>
  </si>
  <si>
    <t>Catelyn Mallister</t>
  </si>
  <si>
    <t>000.000.062-00</t>
  </si>
  <si>
    <t>Catelyn Tarly</t>
  </si>
  <si>
    <t>000.000.163-00</t>
  </si>
  <si>
    <t>27 anos</t>
  </si>
  <si>
    <t>Catelyn Umber</t>
  </si>
  <si>
    <t>000.000.099-00</t>
  </si>
  <si>
    <t>Catelyn Westerling</t>
  </si>
  <si>
    <t>000.000.358-00</t>
  </si>
  <si>
    <t>Catelyn Yronwood</t>
  </si>
  <si>
    <t>000.000.226-00</t>
  </si>
  <si>
    <t>Cersei  Marbrand</t>
  </si>
  <si>
    <t>000.000.158-00</t>
  </si>
  <si>
    <t>Cersei Clegane</t>
  </si>
  <si>
    <t>000.000.323-00</t>
  </si>
  <si>
    <t>Cersei Glover</t>
  </si>
  <si>
    <t>000.000.324-00</t>
  </si>
  <si>
    <t>Cersei Greyjoy</t>
  </si>
  <si>
    <t>000.000.265-00</t>
  </si>
  <si>
    <t>Cersei Stark</t>
  </si>
  <si>
    <t>000.000.293-00</t>
  </si>
  <si>
    <t>Cersei Tarth</t>
  </si>
  <si>
    <t>000.000.203-00</t>
  </si>
  <si>
    <t>000.000.147-00</t>
  </si>
  <si>
    <t>Cersei Umber</t>
  </si>
  <si>
    <t>000.000.058-00</t>
  </si>
  <si>
    <t>Daario  Dayne</t>
  </si>
  <si>
    <t>000.000.144-00</t>
  </si>
  <si>
    <t>Daario Arryn</t>
  </si>
  <si>
    <t>000.000.173-00</t>
  </si>
  <si>
    <t>Daario Cerwyn</t>
  </si>
  <si>
    <t>000.000.175-00</t>
  </si>
  <si>
    <t>Daario Clegane</t>
  </si>
  <si>
    <t>000.000.270-00</t>
  </si>
  <si>
    <t>Daario Marbrand</t>
  </si>
  <si>
    <t>000.000.014-00</t>
  </si>
  <si>
    <t>46 anos</t>
  </si>
  <si>
    <t>Daario Tarly</t>
  </si>
  <si>
    <t>000.000.046-00</t>
  </si>
  <si>
    <t>Daario Tyrell</t>
  </si>
  <si>
    <t>000.000.251-00</t>
  </si>
  <si>
    <t>Daenerys Seaworth</t>
  </si>
  <si>
    <t>000.000.341-00</t>
  </si>
  <si>
    <t>Daenerys Snow</t>
  </si>
  <si>
    <t>000.000.142-00</t>
  </si>
  <si>
    <t>Daenerys Tallhart</t>
  </si>
  <si>
    <t>000.000.092-00</t>
  </si>
  <si>
    <t>Davos  Baratheon</t>
  </si>
  <si>
    <t>000.000.055-00</t>
  </si>
  <si>
    <t>Winterfell</t>
  </si>
  <si>
    <t>Davos Tyrell</t>
  </si>
  <si>
    <t>000.000.161-00</t>
  </si>
  <si>
    <t>000.000.079-00</t>
  </si>
  <si>
    <t>Davos Umber</t>
  </si>
  <si>
    <t>000.000.353-00</t>
  </si>
  <si>
    <t>Eddard Crakehall</t>
  </si>
  <si>
    <t>000.000.318-00</t>
  </si>
  <si>
    <t>Eddard Dayne</t>
  </si>
  <si>
    <t>000.000.032-00</t>
  </si>
  <si>
    <t>Eddard Greyjoy</t>
  </si>
  <si>
    <t>000.000.238-00</t>
  </si>
  <si>
    <t>Eddard Mallister</t>
  </si>
  <si>
    <t>000.000.309-00</t>
  </si>
  <si>
    <t>Eddard Payne</t>
  </si>
  <si>
    <t>000.000.159-00</t>
  </si>
  <si>
    <t>Eddard Royce</t>
  </si>
  <si>
    <t>000.000.181-00</t>
  </si>
  <si>
    <t>Eddard Stark</t>
  </si>
  <si>
    <t>000.000.015-00</t>
  </si>
  <si>
    <t>Eddard Westerling</t>
  </si>
  <si>
    <t>000.000.094-00</t>
  </si>
  <si>
    <t>Ellaria  Reed</t>
  </si>
  <si>
    <t>000.000.311-00</t>
  </si>
  <si>
    <t>Ellaria Baelish</t>
  </si>
  <si>
    <t>000.000.336-00</t>
  </si>
  <si>
    <t>Ellaria Bracken</t>
  </si>
  <si>
    <t>000.000.138-00</t>
  </si>
  <si>
    <t>Monte Chifre</t>
  </si>
  <si>
    <t>Ellaria Cerwyn</t>
  </si>
  <si>
    <t>000.000.019-00</t>
  </si>
  <si>
    <t>51 anos</t>
  </si>
  <si>
    <t>Ellaria Mallister</t>
  </si>
  <si>
    <t>000.000.194-00</t>
  </si>
  <si>
    <t>Ellaria Martell</t>
  </si>
  <si>
    <t>000.000.148-00</t>
  </si>
  <si>
    <t>Ellaria Mormont</t>
  </si>
  <si>
    <t>000.000.157-00</t>
  </si>
  <si>
    <t>Ellaria Redwyne</t>
  </si>
  <si>
    <t>000.000.093-00</t>
  </si>
  <si>
    <t>Ellaria Seaworth</t>
  </si>
  <si>
    <t>000.000.125-00</t>
  </si>
  <si>
    <t>Ellaria Swyft</t>
  </si>
  <si>
    <t>000.000.115-00</t>
  </si>
  <si>
    <t>Ellaria Targaryen</t>
  </si>
  <si>
    <t>000.000.149-00</t>
  </si>
  <si>
    <t>Ellaria Tarly</t>
  </si>
  <si>
    <t>000.000.026-00</t>
  </si>
  <si>
    <t>Gendry Cerwyn</t>
  </si>
  <si>
    <t>000.000.153-00</t>
  </si>
  <si>
    <t>Gendry Hightower</t>
  </si>
  <si>
    <t>000.000.167-00</t>
  </si>
  <si>
    <t>Gilly Frey</t>
  </si>
  <si>
    <t>000.000.258-00</t>
  </si>
  <si>
    <t>Gilly Glover</t>
  </si>
  <si>
    <t>000.000.022-00</t>
  </si>
  <si>
    <t>Gilly Marbrand</t>
  </si>
  <si>
    <t>000.000.156-00</t>
  </si>
  <si>
    <t>Gilly Mormont</t>
  </si>
  <si>
    <t>000.000.220-00</t>
  </si>
  <si>
    <t>Gilly Swyft</t>
  </si>
  <si>
    <t>000.000.261-00</t>
  </si>
  <si>
    <t>Grey  Worm  Greyjoy</t>
  </si>
  <si>
    <t>000.000.182-00</t>
  </si>
  <si>
    <t>Grey Worm Baratheon</t>
  </si>
  <si>
    <t>000.000.221-00</t>
  </si>
  <si>
    <t>Grey Worm Dondarrion</t>
  </si>
  <si>
    <t>000.000.233-00</t>
  </si>
  <si>
    <t>Grey Worm Hornwood</t>
  </si>
  <si>
    <t>000.000.322-00</t>
  </si>
  <si>
    <t>Grey Worm Targaryen</t>
  </si>
  <si>
    <t>000.000.060-00</t>
  </si>
  <si>
    <t>Jaime Bracken</t>
  </si>
  <si>
    <t>000.000.166-00</t>
  </si>
  <si>
    <t>Jaime Dondarrion</t>
  </si>
  <si>
    <t>000.000.056-00</t>
  </si>
  <si>
    <t>Jaime Seaworth</t>
  </si>
  <si>
    <t>000.000.263-00</t>
  </si>
  <si>
    <t>sim</t>
  </si>
  <si>
    <t>Jaime Yronwood</t>
  </si>
  <si>
    <t>Jeor  Payne</t>
  </si>
  <si>
    <t>000.000.209-00</t>
  </si>
  <si>
    <t>Jeor Baelish</t>
  </si>
  <si>
    <t>000.000.332-00</t>
  </si>
  <si>
    <t>Jeor Clegane</t>
  </si>
  <si>
    <t>000.000.273-00</t>
  </si>
  <si>
    <t>Jeor Florent</t>
  </si>
  <si>
    <t>000.000.249-00</t>
  </si>
  <si>
    <t>Jeor Karstark</t>
  </si>
  <si>
    <t>000.000.310-00</t>
  </si>
  <si>
    <t>Jeor Lannister</t>
  </si>
  <si>
    <t>000.000.091-00</t>
  </si>
  <si>
    <t>Jeor Mallister</t>
  </si>
  <si>
    <t>000.000.162-00</t>
  </si>
  <si>
    <t>Jeor Marbrand</t>
  </si>
  <si>
    <t>000.000.073-00</t>
  </si>
  <si>
    <t>Jeor Martell</t>
  </si>
  <si>
    <t>000.000.061-00</t>
  </si>
  <si>
    <t>Jojen Dayne</t>
  </si>
  <si>
    <t>000.000.199-00</t>
  </si>
  <si>
    <t>Jojen Florent</t>
  </si>
  <si>
    <t>000.000.321-00</t>
  </si>
  <si>
    <t>000.000.343-00</t>
  </si>
  <si>
    <t>Jojen Hornwood</t>
  </si>
  <si>
    <t>000.000.128-00</t>
  </si>
  <si>
    <t>Jojen Redwyne</t>
  </si>
  <si>
    <t>000.000.334-00</t>
  </si>
  <si>
    <t>24 anos</t>
  </si>
  <si>
    <t>Jojen Reed</t>
  </si>
  <si>
    <t>000.000.136-00</t>
  </si>
  <si>
    <t>Jon  Karstark</t>
  </si>
  <si>
    <t>000.000.139-00</t>
  </si>
  <si>
    <t>55 anos</t>
  </si>
  <si>
    <t>Jon Baelish</t>
  </si>
  <si>
    <t>000.000.214-00</t>
  </si>
  <si>
    <t>Jon Bolton</t>
  </si>
  <si>
    <t>000.000.130-00</t>
  </si>
  <si>
    <t>Jon Cerwyn</t>
  </si>
  <si>
    <t>000.000.112-00</t>
  </si>
  <si>
    <t>Jon Dayne</t>
  </si>
  <si>
    <t>000.000.319-00</t>
  </si>
  <si>
    <t>Jon Hightower</t>
  </si>
  <si>
    <t>000.000.081-00</t>
  </si>
  <si>
    <t>Jon Hornwood</t>
  </si>
  <si>
    <t>000.000.331-00</t>
  </si>
  <si>
    <t>Jon Marbrand</t>
  </si>
  <si>
    <t>000.000.359-00</t>
  </si>
  <si>
    <t>Jon Tarth</t>
  </si>
  <si>
    <t>000.000.208-00</t>
  </si>
  <si>
    <t>000.000.004-00</t>
  </si>
  <si>
    <t>Jorah  Tyrell</t>
  </si>
  <si>
    <t>000.000.229-00</t>
  </si>
  <si>
    <t>Jorah Dondarrion</t>
  </si>
  <si>
    <t>000.000.294-00</t>
  </si>
  <si>
    <t>000.000.210-00</t>
  </si>
  <si>
    <t>Jorah Florent</t>
  </si>
  <si>
    <t>000.000.204-00</t>
  </si>
  <si>
    <t>Jorah Hightower</t>
  </si>
  <si>
    <t>000.000.007-00</t>
  </si>
  <si>
    <t>000.000.346-00</t>
  </si>
  <si>
    <t>Jorah Marbrand</t>
  </si>
  <si>
    <t>000.000.339-00</t>
  </si>
  <si>
    <t>000.000.168-00</t>
  </si>
  <si>
    <t>Jorah Redwyne</t>
  </si>
  <si>
    <t>000.000.165-00</t>
  </si>
  <si>
    <t>000.000.040-00</t>
  </si>
  <si>
    <t>Jorah Seaworth</t>
  </si>
  <si>
    <t>000.000.207-00</t>
  </si>
  <si>
    <t>Loras  Tarth</t>
  </si>
  <si>
    <t>000.000.286-00</t>
  </si>
  <si>
    <t>Loras Baelish</t>
  </si>
  <si>
    <t>000.000.217-00</t>
  </si>
  <si>
    <t>Loras Bracken</t>
  </si>
  <si>
    <t>000.000.254-00</t>
  </si>
  <si>
    <t>Loras Clegane</t>
  </si>
  <si>
    <t>000.000.287-00</t>
  </si>
  <si>
    <t>Loras Frey</t>
  </si>
  <si>
    <t>000.000.017-00</t>
  </si>
  <si>
    <t>Loras Greyjoy</t>
  </si>
  <si>
    <t>000.000.362-00</t>
  </si>
  <si>
    <t>Loras Lannister</t>
  </si>
  <si>
    <t>000.000.302-00</t>
  </si>
  <si>
    <t>Loras Manderly</t>
  </si>
  <si>
    <t>000.000.278-00</t>
  </si>
  <si>
    <t>Loras Payne</t>
  </si>
  <si>
    <t>000.000.027-00</t>
  </si>
  <si>
    <t>Lyanna Florent</t>
  </si>
  <si>
    <t>000.000.063-00</t>
  </si>
  <si>
    <t>Lyanna Marbrand</t>
  </si>
  <si>
    <t>000.000.283-00</t>
  </si>
  <si>
    <t>Lyanna Seaworth</t>
  </si>
  <si>
    <t>000.000.041-00</t>
  </si>
  <si>
    <t>Lyanna Stark</t>
  </si>
  <si>
    <t>000.000.023-00</t>
  </si>
  <si>
    <t>Lyanna Swyft</t>
  </si>
  <si>
    <t>000.000.180-00</t>
  </si>
  <si>
    <t>Lyanna Tarly</t>
  </si>
  <si>
    <t>000.000.232-00</t>
  </si>
  <si>
    <t>Lyanna Tarth</t>
  </si>
  <si>
    <t>000.000.345-00</t>
  </si>
  <si>
    <t>Lyanna Westerling</t>
  </si>
  <si>
    <t>000.000.179-00</t>
  </si>
  <si>
    <t>Margaery  Hornwood</t>
  </si>
  <si>
    <t>000.000.151-00</t>
  </si>
  <si>
    <t>Margaery Cerwyn</t>
  </si>
  <si>
    <t>000.000.211-00</t>
  </si>
  <si>
    <t>Margaery Dayne</t>
  </si>
  <si>
    <t>000.000.276-00</t>
  </si>
  <si>
    <t>Margaery Dondarrion</t>
  </si>
  <si>
    <t>000.000.192-00</t>
  </si>
  <si>
    <t>Margaery Manderly</t>
  </si>
  <si>
    <t>000.000.222-00</t>
  </si>
  <si>
    <t>Margaery Marbrand</t>
  </si>
  <si>
    <t>000.000.146-00</t>
  </si>
  <si>
    <t>Margaery Tarly</t>
  </si>
  <si>
    <t>000.000.274-00</t>
  </si>
  <si>
    <t>Margaery Tyrell</t>
  </si>
  <si>
    <t>000.000.107-00</t>
  </si>
  <si>
    <t>Meera Payne</t>
  </si>
  <si>
    <t>000.000.131-00</t>
  </si>
  <si>
    <t>Meera Reed</t>
  </si>
  <si>
    <t>000.000.314-00</t>
  </si>
  <si>
    <t>Meera Tarly</t>
  </si>
  <si>
    <t>000.000.326-00</t>
  </si>
  <si>
    <t>Melisandre  Baelish</t>
  </si>
  <si>
    <t>000.000.152-00</t>
  </si>
  <si>
    <t>Melisandre Baratheon</t>
  </si>
  <si>
    <t>000.000.364-00</t>
  </si>
  <si>
    <t>000.000.020-00</t>
  </si>
  <si>
    <t>Melisandre Blackwood</t>
  </si>
  <si>
    <t>000.000.051-00</t>
  </si>
  <si>
    <t>Melisandre Cerwyn</t>
  </si>
  <si>
    <t>000.000.120-00</t>
  </si>
  <si>
    <t>Melisandre Clegane</t>
  </si>
  <si>
    <t>000.000.231-00</t>
  </si>
  <si>
    <t>Melisandre Crakehall</t>
  </si>
  <si>
    <t>000.000.260-00</t>
  </si>
  <si>
    <t>Melisandre Glover</t>
  </si>
  <si>
    <t>000.000.329-00</t>
  </si>
  <si>
    <t>Melisandre Targaryen</t>
  </si>
  <si>
    <t>000.000.170-00</t>
  </si>
  <si>
    <t>Missandei  Tarly</t>
  </si>
  <si>
    <t>000.000.196-00</t>
  </si>
  <si>
    <t>Missandei Florent</t>
  </si>
  <si>
    <t>000.000.282-00</t>
  </si>
  <si>
    <t>Missandei Glover</t>
  </si>
  <si>
    <t>000.000.305-00</t>
  </si>
  <si>
    <t>000.000.340-00</t>
  </si>
  <si>
    <t>Missandei Karstark</t>
  </si>
  <si>
    <t>000.000.044-00</t>
  </si>
  <si>
    <t>Missandei Redwyne</t>
  </si>
  <si>
    <t>000.000.111-00</t>
  </si>
  <si>
    <t>Missandei Tarly</t>
  </si>
  <si>
    <t>000.000.002-00</t>
  </si>
  <si>
    <t>Olenna Arryn</t>
  </si>
  <si>
    <t>000.000.096-00</t>
  </si>
  <si>
    <t>Olenna Baelish</t>
  </si>
  <si>
    <t>000.000.191-00</t>
  </si>
  <si>
    <t>Olenna Bracken</t>
  </si>
  <si>
    <t>000.000.225-00</t>
  </si>
  <si>
    <t>Olenna Hornwood</t>
  </si>
  <si>
    <t>000.000.299-00</t>
  </si>
  <si>
    <t>Olenna Reed</t>
  </si>
  <si>
    <t>000.000.248-00</t>
  </si>
  <si>
    <t>Petyr Greyjoy</t>
  </si>
  <si>
    <t>000.000.301-00</t>
  </si>
  <si>
    <t>Petyr Karstark</t>
  </si>
  <si>
    <t>000.000.237-00</t>
  </si>
  <si>
    <t>Petyr Mallister</t>
  </si>
  <si>
    <t>000.000.116-00</t>
  </si>
  <si>
    <t>Petyr Snow</t>
  </si>
  <si>
    <t>000.000.219-00</t>
  </si>
  <si>
    <t>Petyr Swyft</t>
  </si>
  <si>
    <t>000.000.275-00</t>
  </si>
  <si>
    <t>Petyr Yronwood</t>
  </si>
  <si>
    <t>000.000.095-00</t>
  </si>
  <si>
    <t>Podrick Blackwood</t>
  </si>
  <si>
    <t>000.000.135-00</t>
  </si>
  <si>
    <t>000.000.083-00</t>
  </si>
  <si>
    <t>Podrick Dayne</t>
  </si>
  <si>
    <t>000.000.223-00</t>
  </si>
  <si>
    <t>Podrick Florent</t>
  </si>
  <si>
    <t>000.000.354-00</t>
  </si>
  <si>
    <t>Podrick Swyft</t>
  </si>
  <si>
    <t>000.000.090-00</t>
  </si>
  <si>
    <t>Podrick Targaryen</t>
  </si>
  <si>
    <t>000.000.050-00</t>
  </si>
  <si>
    <t>Ramsay Dayne</t>
  </si>
  <si>
    <t>000.000.224-00</t>
  </si>
  <si>
    <t>Ramsay Dondarrion</t>
  </si>
  <si>
    <t>000.000.054-00</t>
  </si>
  <si>
    <t>Ramsay Hornwood</t>
  </si>
  <si>
    <t>000.000.005-00</t>
  </si>
  <si>
    <t>Ramsay Stark</t>
  </si>
  <si>
    <t>000.000.169-00</t>
  </si>
  <si>
    <t>Ramsay Tarly</t>
  </si>
  <si>
    <t>000.000.098-00</t>
  </si>
  <si>
    <t>Renly Blackwood</t>
  </si>
  <si>
    <t>000.000.106-00</t>
  </si>
  <si>
    <t>Renly Bolton</t>
  </si>
  <si>
    <t>000.000.303-00</t>
  </si>
  <si>
    <t>000.000.206-00</t>
  </si>
  <si>
    <t>Renly Dayne</t>
  </si>
  <si>
    <t>000.000.065-00</t>
  </si>
  <si>
    <t>Renly Mallister</t>
  </si>
  <si>
    <t>000.000.372-00</t>
  </si>
  <si>
    <t>Renly Mormont</t>
  </si>
  <si>
    <t>000.000.376-00</t>
  </si>
  <si>
    <t>Renly Redwyne</t>
  </si>
  <si>
    <t>000.000.045-00</t>
  </si>
  <si>
    <t>Renly Seaworth</t>
  </si>
  <si>
    <t>000.000.350-00</t>
  </si>
  <si>
    <t>Renly Stark</t>
  </si>
  <si>
    <t>000.000.252-00</t>
  </si>
  <si>
    <t>Renly Tallhart</t>
  </si>
  <si>
    <t>000.000.117-00</t>
  </si>
  <si>
    <t>Rhaegar Dayne</t>
  </si>
  <si>
    <t>000.000.335-00</t>
  </si>
  <si>
    <t>Rhaegar Hornwood</t>
  </si>
  <si>
    <t>000.000.178-00</t>
  </si>
  <si>
    <t>Rhaegar Lannister</t>
  </si>
  <si>
    <t>000.000.370-00</t>
  </si>
  <si>
    <t>Rhaegar Mormont</t>
  </si>
  <si>
    <t>000.000.109-00</t>
  </si>
  <si>
    <t>Rhaegar Payne</t>
  </si>
  <si>
    <t>000.000.253-00</t>
  </si>
  <si>
    <t>Rhaegar Stark</t>
  </si>
  <si>
    <t>000.000.119-00</t>
  </si>
  <si>
    <t>Rhaegar Tallhart</t>
  </si>
  <si>
    <t>000.000.348-00</t>
  </si>
  <si>
    <t>Rhaegar Targaryen</t>
  </si>
  <si>
    <t>000.000.342-00</t>
  </si>
  <si>
    <t>Rhaegar Umber</t>
  </si>
  <si>
    <t>000.000.247-00</t>
  </si>
  <si>
    <t>Rickon Crakehall</t>
  </si>
  <si>
    <t>000.000.066-00</t>
  </si>
  <si>
    <t>Rickon Frey</t>
  </si>
  <si>
    <t>000.000.013-00</t>
  </si>
  <si>
    <t>Rickon Karstark</t>
  </si>
  <si>
    <t>000.000.089-00</t>
  </si>
  <si>
    <t>000.000.088-00</t>
  </si>
  <si>
    <t>000.000.360-00</t>
  </si>
  <si>
    <t>Rickon Lannister</t>
  </si>
  <si>
    <t>000.000.197-00</t>
  </si>
  <si>
    <t>Rickon Redwyne</t>
  </si>
  <si>
    <t>000.000.150-00</t>
  </si>
  <si>
    <t>Rickon Targaryen</t>
  </si>
  <si>
    <t>000.000.298-00</t>
  </si>
  <si>
    <t>Robb Baratheon</t>
  </si>
  <si>
    <t>000.000.365-00</t>
  </si>
  <si>
    <t>Robb Clegane</t>
  </si>
  <si>
    <t>000.000.304-00</t>
  </si>
  <si>
    <t>Robb Greyjoy</t>
  </si>
  <si>
    <t>000.000.227-00</t>
  </si>
  <si>
    <t>Robb Reed</t>
  </si>
  <si>
    <t>000.000.246-00</t>
  </si>
  <si>
    <t>Robb Stark</t>
  </si>
  <si>
    <t>000.000.228-00</t>
  </si>
  <si>
    <t>Robert Cerwyn</t>
  </si>
  <si>
    <t>000.000.300-00</t>
  </si>
  <si>
    <t>Robert Hornwood</t>
  </si>
  <si>
    <t>000.000.285-00</t>
  </si>
  <si>
    <t>41 anos</t>
  </si>
  <si>
    <t>000.000.259-00</t>
  </si>
  <si>
    <t>Robert Karstark</t>
  </si>
  <si>
    <t>000.000.184-00</t>
  </si>
  <si>
    <t>Robert Mallister</t>
  </si>
  <si>
    <t>000.000.327-00</t>
  </si>
  <si>
    <t>000.000.037-00</t>
  </si>
  <si>
    <t>Robert Manderly</t>
  </si>
  <si>
    <t>000.000.230-00</t>
  </si>
  <si>
    <t>Robert Stark</t>
  </si>
  <si>
    <t>000.000.315-00</t>
  </si>
  <si>
    <t>Robert Tarth</t>
  </si>
  <si>
    <t>000.000.001-00</t>
  </si>
  <si>
    <t>Robert Westerling</t>
  </si>
  <si>
    <t>000.000.105-00</t>
  </si>
  <si>
    <t>Robert Yronwood</t>
  </si>
  <si>
    <t>000.000.075-00</t>
  </si>
  <si>
    <t>Roose Bolton</t>
  </si>
  <si>
    <t>000.000.137-00</t>
  </si>
  <si>
    <t>Roose Bracken</t>
  </si>
  <si>
    <t>000.000.188-00</t>
  </si>
  <si>
    <t>Roose Cerwyn</t>
  </si>
  <si>
    <t>000.000.349-00</t>
  </si>
  <si>
    <t>32 anos</t>
  </si>
  <si>
    <t>Bloqueado</t>
  </si>
  <si>
    <t>000.000.047-00</t>
  </si>
  <si>
    <t>Roose Dondarrion</t>
  </si>
  <si>
    <t>000.000.126-00</t>
  </si>
  <si>
    <t>Roose Manderly</t>
  </si>
  <si>
    <t>000.000.154-00</t>
  </si>
  <si>
    <t>Samwell Glover</t>
  </si>
  <si>
    <t>000.000.160-00</t>
  </si>
  <si>
    <t>Samwell Yronwood</t>
  </si>
  <si>
    <t>000.000.124-00</t>
  </si>
  <si>
    <t>Sandor Clegane</t>
  </si>
  <si>
    <t>000.000.164-00</t>
  </si>
  <si>
    <t>Sandor Dondarrion</t>
  </si>
  <si>
    <t>000.000.082-00</t>
  </si>
  <si>
    <t>Sandor Westerling</t>
  </si>
  <si>
    <t>000.000.008-00</t>
  </si>
  <si>
    <t>000.000.337-00</t>
  </si>
  <si>
    <t>Sansa Dondarrion</t>
  </si>
  <si>
    <t>000.000.101-00</t>
  </si>
  <si>
    <t>Shae  Dayne</t>
  </si>
  <si>
    <t>000.000.312-00</t>
  </si>
  <si>
    <t>Shae Clegane</t>
  </si>
  <si>
    <t>000.000.205-00</t>
  </si>
  <si>
    <t>Shae Frey</t>
  </si>
  <si>
    <t>000.000.127-00</t>
  </si>
  <si>
    <t>Shae Mormont</t>
  </si>
  <si>
    <t>000.000.307-00</t>
  </si>
  <si>
    <t>000.000.114-00</t>
  </si>
  <si>
    <t>Shae Seaworth</t>
  </si>
  <si>
    <t>000.000.030-00</t>
  </si>
  <si>
    <t>Shae Tarly</t>
  </si>
  <si>
    <t>000.000.235-00</t>
  </si>
  <si>
    <t>Stannis  Cerwyn</t>
  </si>
  <si>
    <t>000.000.034-00</t>
  </si>
  <si>
    <t>Stannis Crakehall</t>
  </si>
  <si>
    <t>000.000.351-00</t>
  </si>
  <si>
    <t>Stannis Greyjoy</t>
  </si>
  <si>
    <t>000.000.236-00</t>
  </si>
  <si>
    <t>Stannis Lannister</t>
  </si>
  <si>
    <t>000.000.361-00</t>
  </si>
  <si>
    <t>Stannis Redwyne</t>
  </si>
  <si>
    <t>000.000.216-00</t>
  </si>
  <si>
    <t>Stannis Seaworth</t>
  </si>
  <si>
    <t>000.000.316-00</t>
  </si>
  <si>
    <t>Stannis Westerling</t>
  </si>
  <si>
    <t>000.000.071-00</t>
  </si>
  <si>
    <t>Theon Baelish</t>
  </si>
  <si>
    <t>000.000.380-00</t>
  </si>
  <si>
    <t>Theon Baratheon</t>
  </si>
  <si>
    <t>000.000.375-00</t>
  </si>
  <si>
    <t>SIM</t>
  </si>
  <si>
    <t>Theon Frey</t>
  </si>
  <si>
    <t>000.000.123-00</t>
  </si>
  <si>
    <t>Theon Karstark</t>
  </si>
  <si>
    <t>000.000.296-00</t>
  </si>
  <si>
    <t>Theon Tarth</t>
  </si>
  <si>
    <t>000.000.289-00</t>
  </si>
  <si>
    <t>Thoros  Baelish</t>
  </si>
  <si>
    <t>000.000.011-00</t>
  </si>
  <si>
    <t>Thoros  Frey</t>
  </si>
  <si>
    <t>000.000.113-00</t>
  </si>
  <si>
    <t>Thoros Clegane</t>
  </si>
  <si>
    <t>000.000.141-00</t>
  </si>
  <si>
    <t>Thoros Crakehall</t>
  </si>
  <si>
    <t>000.000.193-00</t>
  </si>
  <si>
    <t>Thoros Greyjoy</t>
  </si>
  <si>
    <t>000.000.374-00</t>
  </si>
  <si>
    <t>000.000.043-00</t>
  </si>
  <si>
    <t>Thoros Hornwood</t>
  </si>
  <si>
    <t>000.000.245-00</t>
  </si>
  <si>
    <t>Thoros Karstark</t>
  </si>
  <si>
    <t>000.000.012-00</t>
  </si>
  <si>
    <t>Thoros Payne</t>
  </si>
  <si>
    <t>000.000.077-00</t>
  </si>
  <si>
    <t>Thoros Tarth</t>
  </si>
  <si>
    <t>000.000.280-00</t>
  </si>
  <si>
    <t>000.000.239-00</t>
  </si>
  <si>
    <t>Thoros Westerling</t>
  </si>
  <si>
    <t>000.000.257-00</t>
  </si>
  <si>
    <t>Thoros Yronwood</t>
  </si>
  <si>
    <t>000.000.104-00</t>
  </si>
  <si>
    <t>000.000.201-00</t>
  </si>
  <si>
    <t>Tormund  Cerwyn</t>
  </si>
  <si>
    <t>000.000.039-00</t>
  </si>
  <si>
    <t>Tormund Glover</t>
  </si>
  <si>
    <t>000.000.087-00</t>
  </si>
  <si>
    <t>Tormund Greyjoy</t>
  </si>
  <si>
    <t>000.000.009-00</t>
  </si>
  <si>
    <t>Tormund Karstark</t>
  </si>
  <si>
    <t>000.000.284-00</t>
  </si>
  <si>
    <t>Tormund Royce</t>
  </si>
  <si>
    <t>000.000.297-00</t>
  </si>
  <si>
    <t>Tormund Tyrell</t>
  </si>
  <si>
    <t>000.000.378-00</t>
  </si>
  <si>
    <t>Tormund Yronwood</t>
  </si>
  <si>
    <t>000.000.187-00</t>
  </si>
  <si>
    <t>Tyrion Blackwood</t>
  </si>
  <si>
    <t>000.000.100-00</t>
  </si>
  <si>
    <t>Tyrion Clegane</t>
  </si>
  <si>
    <t>000.000.281-00</t>
  </si>
  <si>
    <t>Tyrion Karstark</t>
  </si>
  <si>
    <t>000.000.038-00</t>
  </si>
  <si>
    <t>Tyrion Lannister</t>
  </si>
  <si>
    <t>000.000.028-00</t>
  </si>
  <si>
    <t>Tyrion Snow</t>
  </si>
  <si>
    <t>000.000.279-00</t>
  </si>
  <si>
    <t>Tyrion Tyrell</t>
  </si>
  <si>
    <t>000.000.190-00</t>
  </si>
  <si>
    <t>Varys  Blackwood</t>
  </si>
  <si>
    <t>000.000.267-00</t>
  </si>
  <si>
    <t>Varys  Stark</t>
  </si>
  <si>
    <t>000.000.377-00</t>
  </si>
  <si>
    <t>Varys Arryn</t>
  </si>
  <si>
    <t>000.000.097-00</t>
  </si>
  <si>
    <t>Varys Blackwood</t>
  </si>
  <si>
    <t>000.000.373-00</t>
  </si>
  <si>
    <t>Varys Bolton</t>
  </si>
  <si>
    <t>000.000.272-00</t>
  </si>
  <si>
    <t>Varys Bracken</t>
  </si>
  <si>
    <t>000.000.215-00</t>
  </si>
  <si>
    <t>Varys Florent</t>
  </si>
  <si>
    <t>000.000.264-00</t>
  </si>
  <si>
    <t>Varys Lannister</t>
  </si>
  <si>
    <t>000.000.010-00</t>
  </si>
  <si>
    <t>000.000.367-00</t>
  </si>
  <si>
    <t>Varys Tallhart</t>
  </si>
  <si>
    <t>Varys Targaryen</t>
  </si>
  <si>
    <t>000.000.234-00</t>
  </si>
  <si>
    <t>Viserys  Umber</t>
  </si>
  <si>
    <t>000.000.155-00</t>
  </si>
  <si>
    <t>Viserys Baratheon</t>
  </si>
  <si>
    <t>000.000.186-00</t>
  </si>
  <si>
    <t>Viserys Florent</t>
  </si>
  <si>
    <t>000.000.129-00</t>
  </si>
  <si>
    <t>Viserys Hightower</t>
  </si>
  <si>
    <t>000.000.080-00</t>
  </si>
  <si>
    <t>Viserys Seaworth</t>
  </si>
  <si>
    <t>000.000.024-00</t>
  </si>
  <si>
    <t>Yara  Marbrand</t>
  </si>
  <si>
    <t>000.000.266-00</t>
  </si>
  <si>
    <t>Yara Baelish</t>
  </si>
  <si>
    <t>000.000.344-00</t>
  </si>
  <si>
    <t>Yara Mallister</t>
  </si>
  <si>
    <t>000.000.134-00</t>
  </si>
  <si>
    <t>Yara Payne</t>
  </si>
  <si>
    <t>000.000.250-00</t>
  </si>
  <si>
    <t>Yara Royce</t>
  </si>
  <si>
    <t>000.000.320-00</t>
  </si>
  <si>
    <t>000.000.277-00</t>
  </si>
  <si>
    <t>Yara Tallhart</t>
  </si>
  <si>
    <t>000.000.064-00</t>
  </si>
  <si>
    <t>Yara Targaryen</t>
  </si>
  <si>
    <t>000.000.059-00</t>
  </si>
  <si>
    <t>Problema encontrado</t>
  </si>
  <si>
    <t>Coluna</t>
  </si>
  <si>
    <t>O que foi feito</t>
  </si>
  <si>
    <t>Por quê</t>
  </si>
  <si>
    <t>Erros de português, capitalização inconsistente e ausência de dados</t>
  </si>
  <si>
    <t>Correção ortográfica, padronização na capitalização e adição de NULL onde necessário.</t>
  </si>
  <si>
    <t>Para garantir a uniformidade escrita e padronizar o tratamento de células vazias.</t>
  </si>
  <si>
    <t>Inconsistência na escrita dos nomes</t>
  </si>
  <si>
    <t>Padronização na capitalização dos textos.</t>
  </si>
  <si>
    <t>Para manter um padrão visual uniforme entre os registros de nomes.</t>
  </si>
  <si>
    <t>Formato de CPF inconsistente</t>
  </si>
  <si>
    <t>Padronização do formato do CPF.</t>
  </si>
  <si>
    <t>Para deixar os dados consistentes e dentro do padrão esperado.</t>
  </si>
  <si>
    <t>Mistura de números e textos na mesma célula</t>
  </si>
  <si>
    <t>Utilização da função =DIVIDIRTEXTO para separar os dados numéricos dos textuais.</t>
  </si>
  <si>
    <t>Para isolar e tratar corretamente a informação numérica de idade.</t>
  </si>
  <si>
    <t>Formato de data inadequado</t>
  </si>
  <si>
    <t>Transformação do dado para o formato data abreviada.</t>
  </si>
  <si>
    <t>Para padronizar a leitura e facilitar o uso temporal da informação.</t>
  </si>
  <si>
    <t>Texto misturado com números, variação de capitalização e lacunas vazias</t>
  </si>
  <si>
    <t>Uso do =DIVIDIRTEXTO para separação, padronização da capitalização e preenchimento com NULL quando necessário.</t>
  </si>
  <si>
    <t>Para limpar os dados geográficos, unificar o padrão de escrita e tratar corretamente as ausências.</t>
  </si>
  <si>
    <t>Falta de padronização de maiúsculas/minúsculas e lacunas vazias</t>
  </si>
  <si>
    <t>Padronização na capitalização e preenchimento com NULL onde necessário.</t>
  </si>
  <si>
    <t>Para manter o padrão visual uniforme e padronizar as lacunas de informação.</t>
  </si>
  <si>
    <t>Dados em formato incorreto e ausências</t>
  </si>
  <si>
    <t>Transformação do dado para o formato moeda e adição de NULL quando necessário.</t>
  </si>
  <si>
    <t>Para permitir o cálculo financeiro correto e registrar adequadamente os campos vazios.</t>
  </si>
  <si>
    <t>Valores sem formatação financeira adequada e lacunas</t>
  </si>
  <si>
    <t>Para assegurar a correta interpretação monetária dos valores de crédito tomados.</t>
  </si>
  <si>
    <t>Capitalização inconsistente e campos vazios</t>
  </si>
  <si>
    <t>Padronização na capitalização e adição de NULL onde necessário.</t>
  </si>
  <si>
    <t>Para unificar os termos de inadimplência e padronizar as células sem dados.</t>
  </si>
  <si>
    <t>Presença de textos junto aos números e células vazias</t>
  </si>
  <si>
    <t>Uso do =DIVIDIRTEXTO para separação de números e textos, com adição de NULL nas lacunas.</t>
  </si>
  <si>
    <t>Para isolar a quantidade numérica de batalhas e tratar a ausência de registros.</t>
  </si>
  <si>
    <t>Ausência de classificação de risco</t>
  </si>
  <si>
    <t>Criação da coluna e aplicação da fórmula correspondente.</t>
  </si>
  <si>
    <t>Para classificar os clientes por níveis de risco com base nas batalhas.</t>
  </si>
  <si>
    <t>Necessidade de avaliação combinada de risco</t>
  </si>
  <si>
    <t>Criação da nova coluna e respectiva fórmula.</t>
  </si>
  <si>
    <t>Para determinar a aprovação ou negação do risco com base na inadimplência e nível de risco.</t>
  </si>
  <si>
    <t>Necessidade de análise de crédito automatizada</t>
  </si>
  <si>
    <t>Para verificar o crédito tomado e a inadimplência de forma automatizada.</t>
  </si>
  <si>
    <t>Cálculo final de liberação de crédito dependente de múltiplos critérios</t>
  </si>
  <si>
    <t>Para combinar as análises anteriores e calcular o valor a ser liberado se o status estiver ativo.</t>
  </si>
  <si>
    <t>Valores solicitados sem formatação financeira e com lacunas</t>
  </si>
  <si>
    <t>Para padronizar os dados monetários solicitados e preencher adequadamente os campos em branco.</t>
  </si>
  <si>
    <t>(eu tenho um outro txt onde fiz uma explicação bem melhor)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</si>
</sst>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0" fontId="1" fillId="0" borderId="7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1" fontId="0" fillId="0" borderId="0" xfId="0" applyNumberFormat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CCCCCC"/>
        </bottom>
      </border>
    </dxf>
    <dxf>
      <font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/>
        <bottom/>
      </border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  <numFmt numFmtId="1" formatCode="0"/>
      <alignment horizontal="left"/>
    </dxf>
    <dxf>
      <alignment horizontal="left" vertical="bottom"/>
    </dxf>
    <dxf>
      <numFmt numFmtId="164" formatCode="&quot;R$&quot;\ #,##0.00"/>
    </dxf>
    <dxf>
      <numFmt numFmtId="164" formatCode="&quot;R$&quot;\ #,##0.00"/>
    </dxf>
    <dxf>
      <numFmt numFmtId="19" formatCode="dd/mm/yyyy"/>
    </dxf>
    <dxf>
      <numFmt numFmtId="1" formatCode="0"/>
    </dxf>
    <dxf>
      <numFmt numFmtId="0" formatCode="General"/>
      <alignment horizontal="right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9D9EE-78D2-4513-B8CA-95871B663EB0}" name="Tabela1" displayName="Tabela1" ref="A1:E5" totalsRowShown="0">
  <autoFilter ref="A1:E5" xr:uid="{2D09D9EE-78D2-4513-B8CA-95871B663EB0}"/>
  <tableColumns count="5">
    <tableColumn id="1" xr3:uid="{56BD932B-A518-4912-8F0E-E5F0D8474053}" name="ID_Produtos"/>
    <tableColumn id="2" xr3:uid="{A53D84EB-3BEF-4820-A1CA-E83A70A24AD1}" name="Tipo_de_Cafe"/>
    <tableColumn id="3" xr3:uid="{198C66CD-DCEC-4FD5-8483-6CD3339430A0}" name="Tamanho"/>
    <tableColumn id="4" xr3:uid="{3A83B937-44BC-49AB-926C-9EE88A3379F9}" name="Valor_Unitario" dataDxfId="31"/>
    <tableColumn id="5" xr3:uid="{DDE50EF8-D124-4415-9D1C-54738DB62A24}" name="Quant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E9142E-73E3-41C9-8A63-C5F1A4F9CC5D}" name="Tabela24" displayName="Tabela24" ref="A1:D7" totalsRowShown="0">
  <autoFilter ref="A1:D7" xr:uid="{FEE9142E-73E3-41C9-8A63-C5F1A4F9CC5D}"/>
  <tableColumns count="4">
    <tableColumn id="1" xr3:uid="{EDF09D1C-9E6C-4D20-B207-8C2EDB08037F}" name="Funcionário"/>
    <tableColumn id="2" xr3:uid="{AB75EFE2-8008-484F-9AC9-C71AED27925C}" name="Produto"/>
    <tableColumn id="3" xr3:uid="{9974EA4B-9C86-44C8-A8F8-3F4FA9A36C22}" name="Vendas"/>
    <tableColumn id="4" xr3:uid="{32EE1D13-885F-49A5-B967-D575FEE6EF0F}" name="Resultado" dataDxfId="30">
      <calculatedColumnFormula>IF(C2&gt;5,"Ótimo", IF(C2=5,"Regular","Péssimo"))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43EB02-F01E-47BE-928A-F71F69EED75E}" name="Tabela4" displayName="Tabela4" ref="A1:G6" totalsRowShown="0">
  <autoFilter ref="A1:G6" xr:uid="{C043EB02-F01E-47BE-928A-F71F69EED75E}"/>
  <tableColumns count="7">
    <tableColumn id="1" xr3:uid="{FC81C12E-951B-451C-93CB-733D7F5AB124}" name="RA"/>
    <tableColumn id="2" xr3:uid="{C1A7E57F-1646-46A4-95EC-53FB7F970CCE}" name="Nome do Aluno"/>
    <tableColumn id="3" xr3:uid="{33A3C6F8-1285-436A-8076-2A34EB4401EF}" name="Nota 1 Trimestre"/>
    <tableColumn id="4" xr3:uid="{1C21B148-510D-4FAD-890D-EC6D918C3092}" name="Nota 2 Trimestre"/>
    <tableColumn id="5" xr3:uid="{140438C0-C2B0-4181-97E2-BBF05ADF4930}" name="Nota 3 Trimestre"/>
    <tableColumn id="6" xr3:uid="{EC9CFD91-9451-4F8F-A0DF-EA5B909F1351}" name="Média Final" dataDxfId="25">
      <calculatedColumnFormula>MEDIAN(Tabela4[[#This Row],[Nota 1 Trimestre]:[Nota 3 Trimestre]])</calculatedColumnFormula>
    </tableColumn>
    <tableColumn id="7" xr3:uid="{11472E67-A260-4422-9F42-7D52AA01F66D}" name="Resultado" dataDxfId="24">
      <calculatedColumnFormula>IF(F2&gt;=6,"Aprovado","Reprovado")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B4F6D7-B9C5-4D66-8745-A48E268B220A}" name="Tabela5" displayName="Tabela5" ref="A1:F6" totalsRowShown="0">
  <autoFilter ref="A1:F6" xr:uid="{A9B4F6D7-B9C5-4D66-8745-A48E268B220A}"/>
  <tableColumns count="6">
    <tableColumn id="1" xr3:uid="{3AF67E51-15CE-4D6E-A0D6-D18FD6538452}" name="Nome"/>
    <tableColumn id="2" xr3:uid="{0629A68E-8FA2-4710-A32B-6B3C16FC0B7E}" name="Idade"/>
    <tableColumn id="3" xr3:uid="{CF9277A1-1096-417F-BFB3-C722FA97BD39}" name="Ensino Médio"/>
    <tableColumn id="4" xr3:uid="{68BF96F9-F076-4519-B8D7-8A6979BFC089}" name="Curso Técnico"/>
    <tableColumn id="5" xr3:uid="{A68A7E6B-72F1-49AA-AF26-5D7B75E0DD6D}" name="Anos de Experiencia na área"/>
    <tableColumn id="6" xr3:uid="{19662EF2-813D-4FF0-9772-82DF9C419360}" name="Situação" dataDxfId="21">
      <calculatedColumnFormula>IF(AND(B2&gt;=18,C2="Sim",D2="Sim",E2&gt;=3),"Apto","Não apto")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C418CB-BBB1-42F3-A0A7-E06EAAD9B474}" name="Tabela13" displayName="Tabela13" ref="A1:P369" totalsRowShown="0">
  <autoFilter ref="A1:P369" xr:uid="{86C418CB-BBB1-42F3-A0A7-E06EAAD9B474}"/>
  <sortState xmlns:xlrd2="http://schemas.microsoft.com/office/spreadsheetml/2017/richdata2" ref="A2:P369">
    <sortCondition ref="B1:B369"/>
  </sortState>
  <tableColumns count="16">
    <tableColumn id="1" xr3:uid="{42E41D59-5999-4821-993D-51ACB1E2D595}" name="status"/>
    <tableColumn id="2" xr3:uid="{A4E5115B-12D0-410D-B07F-CC1A429A608E}" name="nome"/>
    <tableColumn id="3" xr3:uid="{D26A4B7C-5573-4B18-8D9E-16254C7B90D2}" name="cpf" dataDxfId="20"/>
    <tableColumn id="4" xr3:uid="{E751A506-6929-4D18-8BDE-0EAF08DAE5D8}" name="idade" dataDxfId="19"/>
    <tableColumn id="5" xr3:uid="{A1233858-946F-442E-8006-78786895AD1A}" name="data_nascimento" dataDxfId="18"/>
    <tableColumn id="6" xr3:uid="{56D394E9-32F4-454F-BC66-FC19111C7FD7}" name="Cidade"/>
    <tableColumn id="7" xr3:uid="{78D073A6-83EC-4BDD-9A6F-5003FA3D8600}" name="Regiao"/>
    <tableColumn id="8" xr3:uid="{9B3EBA89-516F-4F9D-B40E-8A3F7709AC7A}" name="renda_mensal" dataDxfId="17"/>
    <tableColumn id="9" xr3:uid="{AE14F46D-9027-40FB-88FA-CBF45AA01EE5}" name="credito_tomado" dataDxfId="16"/>
    <tableColumn id="10" xr3:uid="{CA879294-EB87-4F67-9948-1168A35E5B89}" name="flag_inadimplente" dataDxfId="15"/>
    <tableColumn id="11" xr3:uid="{06282222-FAD9-4E84-8311-42585CEAF102}" name="qtde_batalhas" dataDxfId="14"/>
    <tableColumn id="12" xr3:uid="{00838F83-CD32-4D52-8A32-FCC080F251F3}" name="nivel_risco" dataDxfId="13">
      <calculatedColumnFormula array="1">_xlfn.IFS(K2&gt;=26,"Alto",K2&lt;11,"Baixo",K2&lt;26,"Médio")</calculatedColumnFormula>
    </tableColumn>
    <tableColumn id="14" xr3:uid="{940220C8-34FF-49CB-A53C-80FA3B4DC421}" name="analise_risco" dataDxfId="12">
      <calculatedColumnFormula>IF(AND(Tabela13[[#This Row],[flag_inadimplente]]="Sim",Tabela13[[#This Row],[nivel_risco]]="Alto"),"Negado","Aprovado")</calculatedColumnFormula>
    </tableColumn>
    <tableColumn id="15" xr3:uid="{634F1848-2CCD-4319-ADC7-73921504F936}" name="analise_credito" dataDxfId="11">
      <calculatedColumnFormula>IF(AND(Tabela13[[#This Row],[credito_tomado]]&gt;50000,Tabela13[[#This Row],[flag_inadimplente]]="Sim"),"Negado","Aprovado")</calculatedColumnFormula>
    </tableColumn>
    <tableColumn id="16" xr3:uid="{4411983E-2E23-4A71-BA2B-3447F811149D}" name="liberação_de_credito" dataDxfId="10">
      <calculatedColumnFormula>IF(AND(Tabela13[[#This Row],[analise_risco]]="Negado",Tabela13[[#This Row],[analise_credito]]="Negado"),0,IF(Tabela13[[#This Row],[status]]="Ativo",Tabela13[[#This Row],[valor_solicitado]]*8%,0))</calculatedColumnFormula>
    </tableColumn>
    <tableColumn id="13" xr3:uid="{6AEEA7B2-B868-4D3B-A041-76C443140B2B}" name="valor_solicitado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9C54DC-049C-4D13-9470-C2D3D28A9067}" name="Tabela8" displayName="Tabela8" ref="A1:D17" totalsRowShown="0" headerRowDxfId="8" dataDxfId="7" headerRowBorderDxfId="5" tableBorderDxfId="6" totalsRowBorderDxfId="4">
  <autoFilter ref="A1:D17" xr:uid="{A19C54DC-049C-4D13-9470-C2D3D28A9067}"/>
  <tableColumns count="4">
    <tableColumn id="1" xr3:uid="{54005072-9F7E-4F1C-80FB-73A9584D65E3}" name="Problema encontrado" dataDxfId="3"/>
    <tableColumn id="2" xr3:uid="{EEE306AE-56C1-4E23-B4CD-1791623FA26D}" name="Coluna" dataDxfId="2"/>
    <tableColumn id="3" xr3:uid="{CB3964AD-2332-454D-A80C-38BAB0344F28}" name="O que foi feito" dataDxfId="1"/>
    <tableColumn id="4" xr3:uid="{D8FDE086-62BB-43CF-99CB-8A49F96116AC}" name="Por qu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A6" sqref="A6"/>
    </sheetView>
  </sheetViews>
  <sheetFormatPr defaultRowHeight="15"/>
  <cols>
    <col min="1" max="1" width="14.5703125" bestFit="1" customWidth="1"/>
    <col min="2" max="2" width="15.7109375" bestFit="1" customWidth="1"/>
    <col min="3" max="3" width="11.85546875" bestFit="1" customWidth="1"/>
    <col min="4" max="4" width="16.7109375" bestFit="1" customWidth="1"/>
    <col min="5" max="5" width="14" bestFit="1" customWidth="1"/>
    <col min="7" max="7" width="14" bestFit="1" customWidth="1"/>
    <col min="8" max="8" width="10.7109375" bestFit="1" customWidth="1"/>
    <col min="9" max="9" width="10" bestFit="1" customWidth="1"/>
    <col min="10" max="10" width="12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 t="s">
        <v>5</v>
      </c>
      <c r="C2" t="s">
        <v>6</v>
      </c>
      <c r="D2" s="1">
        <v>29.79</v>
      </c>
      <c r="E2">
        <v>20</v>
      </c>
    </row>
    <row r="3" spans="1:5">
      <c r="A3">
        <v>1</v>
      </c>
      <c r="B3" t="s">
        <v>5</v>
      </c>
      <c r="C3" t="s">
        <v>6</v>
      </c>
      <c r="D3" s="1">
        <v>3.89</v>
      </c>
      <c r="E3">
        <v>10</v>
      </c>
    </row>
    <row r="4" spans="1:5">
      <c r="A4">
        <v>3</v>
      </c>
      <c r="B4" t="s">
        <v>7</v>
      </c>
      <c r="C4" t="s">
        <v>8</v>
      </c>
      <c r="D4" s="1">
        <v>3.38</v>
      </c>
      <c r="E4">
        <v>30</v>
      </c>
    </row>
    <row r="5" spans="1:5">
      <c r="A5">
        <v>4</v>
      </c>
      <c r="B5" t="s">
        <v>9</v>
      </c>
      <c r="C5" t="s">
        <v>10</v>
      </c>
      <c r="D5" s="1">
        <v>13.43</v>
      </c>
      <c r="E5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8D12-ED0F-44FC-8406-1E65BF556B18}">
  <dimension ref="A1:D7"/>
  <sheetViews>
    <sheetView workbookViewId="0">
      <selection activeCell="D2" sqref="D2"/>
    </sheetView>
  </sheetViews>
  <sheetFormatPr defaultRowHeight="15"/>
  <cols>
    <col min="1" max="1" width="14" bestFit="1" customWidth="1"/>
    <col min="2" max="2" width="10.85546875" bestFit="1" customWidth="1"/>
    <col min="3" max="3" width="10" bestFit="1" customWidth="1"/>
    <col min="4" max="4" width="12.28515625" bestFit="1" customWidth="1"/>
  </cols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16</v>
      </c>
      <c r="C2">
        <v>8</v>
      </c>
      <c r="D2" t="str">
        <f>IF(C2&gt;5,"Ótimo", IF(C2=5,"Regular","Péssimo"))</f>
        <v>Ótimo</v>
      </c>
    </row>
    <row r="3" spans="1:4">
      <c r="A3" t="s">
        <v>17</v>
      </c>
      <c r="B3" t="s">
        <v>18</v>
      </c>
      <c r="C3">
        <v>5</v>
      </c>
      <c r="D3" t="str">
        <f t="shared" ref="D2:D7" si="0">IF(C3&gt;5,"Ótimo", IF(C3=5,"Regular","Péssimo"))</f>
        <v>Regular</v>
      </c>
    </row>
    <row r="4" spans="1:4">
      <c r="A4" t="s">
        <v>19</v>
      </c>
      <c r="B4" t="s">
        <v>20</v>
      </c>
      <c r="C4">
        <v>9</v>
      </c>
      <c r="D4" t="str">
        <f t="shared" si="0"/>
        <v>Ótimo</v>
      </c>
    </row>
    <row r="5" spans="1:4">
      <c r="A5" t="s">
        <v>21</v>
      </c>
      <c r="B5" t="s">
        <v>22</v>
      </c>
      <c r="C5">
        <v>4</v>
      </c>
      <c r="D5" t="str">
        <f t="shared" si="0"/>
        <v>Péssimo</v>
      </c>
    </row>
    <row r="6" spans="1:4">
      <c r="A6" t="s">
        <v>23</v>
      </c>
      <c r="B6" t="s">
        <v>24</v>
      </c>
      <c r="C6">
        <v>6</v>
      </c>
      <c r="D6" t="str">
        <f t="shared" si="0"/>
        <v>Ótimo</v>
      </c>
    </row>
    <row r="7" spans="1:4">
      <c r="A7" t="s">
        <v>25</v>
      </c>
      <c r="B7" t="s">
        <v>26</v>
      </c>
      <c r="C7">
        <v>3</v>
      </c>
      <c r="D7" t="str">
        <f t="shared" si="0"/>
        <v>Péssimo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350D-F06F-4597-A6CA-A672727F99AE}">
  <dimension ref="A1:G6"/>
  <sheetViews>
    <sheetView tabSelected="1" workbookViewId="0">
      <selection activeCell="F8" sqref="F8:F10"/>
    </sheetView>
  </sheetViews>
  <sheetFormatPr defaultRowHeight="15"/>
  <cols>
    <col min="1" max="1" width="6" bestFit="1" customWidth="1"/>
    <col min="2" max="2" width="17.5703125" bestFit="1" customWidth="1"/>
    <col min="3" max="5" width="18.5703125" bestFit="1" customWidth="1"/>
    <col min="6" max="6" width="13.85546875" bestFit="1" customWidth="1"/>
    <col min="7" max="7" width="12.28515625" bestFit="1" customWidth="1"/>
  </cols>
  <sheetData>
    <row r="1" spans="1:7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14</v>
      </c>
    </row>
    <row r="2" spans="1:7">
      <c r="A2">
        <v>2001</v>
      </c>
      <c r="B2" t="s">
        <v>33</v>
      </c>
      <c r="C2">
        <v>5</v>
      </c>
      <c r="D2">
        <v>6</v>
      </c>
      <c r="E2">
        <v>8</v>
      </c>
      <c r="F2">
        <f>MEDIAN(Tabela4[[#This Row],[Nota 1 Trimestre]:[Nota 3 Trimestre]])</f>
        <v>6</v>
      </c>
      <c r="G2" t="str">
        <f>IF(F2&gt;=6,"Aprovado","Reprovado")</f>
        <v>Aprovado</v>
      </c>
    </row>
    <row r="3" spans="1:7">
      <c r="A3">
        <v>2002</v>
      </c>
      <c r="B3" t="s">
        <v>34</v>
      </c>
      <c r="C3">
        <v>10</v>
      </c>
      <c r="D3">
        <v>7</v>
      </c>
      <c r="E3">
        <v>8</v>
      </c>
      <c r="F3">
        <f>MEDIAN(Tabela4[[#This Row],[Nota 1 Trimestre]:[Nota 3 Trimestre]])</f>
        <v>8</v>
      </c>
      <c r="G3" t="str">
        <f t="shared" ref="G2:G6" si="0">IF(F3&gt;=6,"Aprovado","Reprovado")</f>
        <v>Aprovado</v>
      </c>
    </row>
    <row r="4" spans="1:7">
      <c r="A4">
        <v>2003</v>
      </c>
      <c r="B4" t="s">
        <v>35</v>
      </c>
      <c r="C4">
        <v>5</v>
      </c>
      <c r="D4">
        <v>2</v>
      </c>
      <c r="E4">
        <v>8</v>
      </c>
      <c r="F4">
        <f>MEDIAN(Tabela4[[#This Row],[Nota 1 Trimestre]:[Nota 3 Trimestre]])</f>
        <v>5</v>
      </c>
      <c r="G4" t="str">
        <f t="shared" si="0"/>
        <v>Reprovado</v>
      </c>
    </row>
    <row r="5" spans="1:7">
      <c r="A5">
        <v>2004</v>
      </c>
      <c r="B5" t="s">
        <v>36</v>
      </c>
      <c r="C5">
        <v>2</v>
      </c>
      <c r="D5">
        <v>1</v>
      </c>
      <c r="E5">
        <v>3</v>
      </c>
      <c r="F5">
        <f>MEDIAN(Tabela4[[#This Row],[Nota 1 Trimestre]:[Nota 3 Trimestre]])</f>
        <v>2</v>
      </c>
      <c r="G5" t="str">
        <f t="shared" si="0"/>
        <v>Reprovado</v>
      </c>
    </row>
    <row r="6" spans="1:7">
      <c r="A6">
        <v>2005</v>
      </c>
      <c r="B6" t="s">
        <v>37</v>
      </c>
      <c r="C6">
        <v>4</v>
      </c>
      <c r="D6">
        <v>7</v>
      </c>
      <c r="E6">
        <v>8</v>
      </c>
      <c r="F6">
        <f>MEDIAN(Tabela4[[#This Row],[Nota 1 Trimestre]:[Nota 3 Trimestre]])</f>
        <v>7</v>
      </c>
      <c r="G6" t="str">
        <f t="shared" si="0"/>
        <v>Aprovado</v>
      </c>
    </row>
  </sheetData>
  <conditionalFormatting sqref="C2:E6">
    <cfRule type="cellIs" dxfId="29" priority="4" operator="greaterThanOrEqual">
      <formula>6</formula>
    </cfRule>
  </conditionalFormatting>
  <conditionalFormatting sqref="C2:E6">
    <cfRule type="cellIs" dxfId="28" priority="3" operator="lessThan">
      <formula>6</formula>
    </cfRule>
  </conditionalFormatting>
  <conditionalFormatting sqref="G2:G6">
    <cfRule type="containsText" dxfId="27" priority="2" operator="containsText" text="Aprovado">
      <formula>NOT(ISERROR(SEARCH("Aprovado",G2)))</formula>
    </cfRule>
  </conditionalFormatting>
  <conditionalFormatting sqref="G2:G6">
    <cfRule type="containsText" dxfId="26" priority="1" operator="containsText" text="Reprovado">
      <formula>NOT(ISERROR(SEARCH("Reprovado",G2)))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1936-4A28-4318-81BB-4D41E534EF39}">
  <dimension ref="A1:F10"/>
  <sheetViews>
    <sheetView workbookViewId="0">
      <selection activeCell="E8" sqref="E8:E10"/>
    </sheetView>
  </sheetViews>
  <sheetFormatPr defaultRowHeight="15"/>
  <cols>
    <col min="1" max="1" width="20.42578125" bestFit="1" customWidth="1"/>
    <col min="2" max="2" width="8.42578125" bestFit="1" customWidth="1"/>
    <col min="3" max="4" width="15.7109375" bestFit="1" customWidth="1"/>
    <col min="5" max="5" width="29" bestFit="1" customWidth="1"/>
    <col min="6" max="6" width="11" bestFit="1" customWidth="1"/>
  </cols>
  <sheetData>
    <row r="1" spans="1:6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 t="s">
        <v>44</v>
      </c>
      <c r="B2">
        <v>17</v>
      </c>
      <c r="C2" t="s">
        <v>45</v>
      </c>
      <c r="D2" t="s">
        <v>46</v>
      </c>
      <c r="E2">
        <v>1</v>
      </c>
      <c r="F2" t="str">
        <f>IF(AND(B2&gt;=18,C2="Sim",D2="Sim",E2&gt;=3),"Apto","Não apto")</f>
        <v>Não apto</v>
      </c>
    </row>
    <row r="3" spans="1:6">
      <c r="A3" t="s">
        <v>47</v>
      </c>
      <c r="B3">
        <v>24</v>
      </c>
      <c r="C3" t="s">
        <v>46</v>
      </c>
      <c r="D3" t="s">
        <v>46</v>
      </c>
      <c r="E3">
        <v>3</v>
      </c>
      <c r="F3" t="str">
        <f t="shared" ref="F2:F6" si="0">IF(AND(B3&gt;=18,C3="Sim",D3="Sim",E3&gt;=3),"Apto","Não apto")</f>
        <v>Apto</v>
      </c>
    </row>
    <row r="4" spans="1:6">
      <c r="A4" t="s">
        <v>48</v>
      </c>
      <c r="B4">
        <v>28</v>
      </c>
      <c r="C4" t="s">
        <v>46</v>
      </c>
      <c r="D4" t="s">
        <v>46</v>
      </c>
      <c r="E4">
        <v>4</v>
      </c>
      <c r="F4" t="str">
        <f t="shared" si="0"/>
        <v>Apto</v>
      </c>
    </row>
    <row r="5" spans="1:6">
      <c r="A5" t="s">
        <v>49</v>
      </c>
      <c r="B5">
        <v>18</v>
      </c>
      <c r="C5" t="s">
        <v>46</v>
      </c>
      <c r="D5" t="s">
        <v>45</v>
      </c>
      <c r="E5">
        <v>1</v>
      </c>
      <c r="F5" t="str">
        <f t="shared" si="0"/>
        <v>Não apto</v>
      </c>
    </row>
    <row r="6" spans="1:6">
      <c r="A6" t="s">
        <v>50</v>
      </c>
      <c r="B6">
        <v>22</v>
      </c>
      <c r="C6" t="s">
        <v>51</v>
      </c>
      <c r="D6" t="s">
        <v>46</v>
      </c>
      <c r="E6">
        <v>2</v>
      </c>
      <c r="F6" t="str">
        <f t="shared" si="0"/>
        <v>Não apto</v>
      </c>
    </row>
    <row r="8" spans="1:6">
      <c r="E8" t="s">
        <v>52</v>
      </c>
    </row>
    <row r="9" spans="1:6">
      <c r="E9" t="s">
        <v>53</v>
      </c>
    </row>
    <row r="10" spans="1:6">
      <c r="E10" t="s">
        <v>54</v>
      </c>
    </row>
  </sheetData>
  <conditionalFormatting sqref="F1:F1048576">
    <cfRule type="containsText" dxfId="23" priority="2" operator="containsText" text="Apto">
      <formula>NOT(ISERROR(SEARCH("Apto",F1)))</formula>
    </cfRule>
  </conditionalFormatting>
  <conditionalFormatting sqref="F1:F1048576">
    <cfRule type="containsText" dxfId="22" priority="1" operator="containsText" text="Não apto">
      <formula>NOT(ISERROR(SEARCH("Não apto",F1)))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8561-0C18-4097-BB90-24B16F4543B0}">
  <dimension ref="A1:P385"/>
  <sheetViews>
    <sheetView topLeftCell="A6" workbookViewId="0">
      <selection activeCell="R7" sqref="R7"/>
    </sheetView>
  </sheetViews>
  <sheetFormatPr defaultRowHeight="15"/>
  <cols>
    <col min="1" max="1" width="10.5703125" bestFit="1" customWidth="1"/>
    <col min="2" max="2" width="22.140625" bestFit="1" customWidth="1"/>
    <col min="3" max="3" width="15" bestFit="1" customWidth="1"/>
    <col min="4" max="4" width="8.42578125" style="24" bestFit="1" customWidth="1"/>
    <col min="5" max="5" width="19" bestFit="1" customWidth="1"/>
    <col min="6" max="6" width="23" bestFit="1" customWidth="1"/>
    <col min="7" max="7" width="21" bestFit="1" customWidth="1"/>
    <col min="8" max="8" width="16.28515625" bestFit="1" customWidth="1"/>
    <col min="9" max="9" width="18" bestFit="1" customWidth="1"/>
    <col min="10" max="10" width="20" bestFit="1" customWidth="1"/>
    <col min="11" max="11" width="16.42578125" bestFit="1" customWidth="1"/>
    <col min="12" max="12" width="13" bestFit="1" customWidth="1"/>
    <col min="13" max="13" width="15" bestFit="1" customWidth="1"/>
    <col min="14" max="14" width="17.140625" bestFit="1" customWidth="1"/>
    <col min="15" max="15" width="22.42578125" bestFit="1" customWidth="1"/>
    <col min="16" max="16" width="17.7109375" bestFit="1" customWidth="1"/>
  </cols>
  <sheetData>
    <row r="1" spans="1:16">
      <c r="A1" t="s">
        <v>55</v>
      </c>
      <c r="B1" t="s">
        <v>56</v>
      </c>
      <c r="C1" s="2" t="s">
        <v>57</v>
      </c>
      <c r="D1" s="24" t="s">
        <v>58</v>
      </c>
      <c r="E1" s="3" t="s">
        <v>59</v>
      </c>
      <c r="F1" t="s">
        <v>60</v>
      </c>
      <c r="G1" t="s">
        <v>61</v>
      </c>
      <c r="H1" s="4" t="s">
        <v>62</v>
      </c>
      <c r="I1" s="4" t="s">
        <v>63</v>
      </c>
      <c r="J1" s="5" t="s">
        <v>64</v>
      </c>
      <c r="K1" s="6" t="s">
        <v>65</v>
      </c>
      <c r="L1" t="s">
        <v>66</v>
      </c>
      <c r="M1" t="s">
        <v>67</v>
      </c>
      <c r="N1" t="s">
        <v>68</v>
      </c>
      <c r="O1" s="4" t="s">
        <v>69</v>
      </c>
      <c r="P1" s="4" t="s">
        <v>70</v>
      </c>
    </row>
    <row r="2" spans="1:16">
      <c r="A2" t="s">
        <v>71</v>
      </c>
      <c r="B2" t="s">
        <v>72</v>
      </c>
      <c r="C2" s="2" t="s">
        <v>73</v>
      </c>
      <c r="D2" s="24">
        <v>47</v>
      </c>
      <c r="E2" s="3">
        <v>29031</v>
      </c>
      <c r="F2" t="s">
        <v>74</v>
      </c>
      <c r="G2" t="s">
        <v>75</v>
      </c>
      <c r="H2" s="4">
        <v>28400</v>
      </c>
      <c r="I2" s="4">
        <v>78000</v>
      </c>
      <c r="J2" s="5" t="s">
        <v>45</v>
      </c>
      <c r="K2" s="6">
        <v>37</v>
      </c>
      <c r="L2" t="str" cm="1">
        <f t="array" ref="L2">_xlfn.IFS(K2&gt;=26,"Alto",K2&lt;11,"Baixo",K2&lt;26,"Médio")</f>
        <v>Alto</v>
      </c>
      <c r="M2" t="str">
        <f>IF(AND(Tabela13[[#This Row],[flag_inadimplente]]="Sim",Tabela13[[#This Row],[nivel_risco]]="Alto"),"Negado","Aprovado")</f>
        <v>Aprovado</v>
      </c>
      <c r="N2" t="str">
        <f>IF(AND(Tabela13[[#This Row],[credito_tomado]]&gt;50000,Tabela13[[#This Row],[flag_inadimplente]]="Sim"),"Negado","Aprovado")</f>
        <v>Aprovado</v>
      </c>
      <c r="O2" s="4">
        <f>IF(AND(Tabela13[[#This Row],[analise_risco]]="Negado",Tabela13[[#This Row],[analise_credito]]="Negado"),0,IF(Tabela13[[#This Row],[status]]="Ativo",Tabela13[[#This Row],[valor_solicitado]]*8%,0))</f>
        <v>7920</v>
      </c>
      <c r="P2" s="4">
        <v>99000</v>
      </c>
    </row>
    <row r="3" spans="1:16">
      <c r="A3" t="s">
        <v>71</v>
      </c>
      <c r="B3" t="s">
        <v>76</v>
      </c>
      <c r="C3" s="2" t="s">
        <v>77</v>
      </c>
      <c r="D3" s="24">
        <v>69</v>
      </c>
      <c r="E3" s="3">
        <v>21054</v>
      </c>
      <c r="F3" t="s">
        <v>78</v>
      </c>
      <c r="G3" t="s">
        <v>79</v>
      </c>
      <c r="H3" s="4">
        <v>23800</v>
      </c>
      <c r="I3" s="4" t="s">
        <v>80</v>
      </c>
      <c r="J3" s="7" t="s">
        <v>80</v>
      </c>
      <c r="K3" s="6">
        <v>26</v>
      </c>
      <c r="L3" t="str" cm="1">
        <f t="array" ref="L3">_xlfn.IFS(K3&gt;=26,"Alto",K3&lt;11,"Baixo",K3&lt;26,"Médio")</f>
        <v>Alto</v>
      </c>
      <c r="M3" t="str">
        <f>IF(AND(Tabela13[[#This Row],[flag_inadimplente]]="Sim",Tabela13[[#This Row],[nivel_risco]]="Alto"),"Negado","Aprovado")</f>
        <v>Aprovado</v>
      </c>
      <c r="N3" t="str">
        <f>IF(AND(Tabela13[[#This Row],[credito_tomado]]&gt;50000,Tabela13[[#This Row],[flag_inadimplente]]="Sim"),"Negado","Aprovado")</f>
        <v>Aprovado</v>
      </c>
      <c r="O3" s="4">
        <f>IF(AND(Tabela13[[#This Row],[analise_risco]]="Negado",Tabela13[[#This Row],[analise_credito]]="Negado"),0,IF(Tabela13[[#This Row],[status]]="Ativo",Tabela13[[#This Row],[valor_solicitado]]*8%,0))</f>
        <v>7120</v>
      </c>
      <c r="P3" s="4">
        <v>89000</v>
      </c>
    </row>
    <row r="4" spans="1:16">
      <c r="A4" t="s">
        <v>71</v>
      </c>
      <c r="B4" t="s">
        <v>81</v>
      </c>
      <c r="C4" s="2" t="s">
        <v>82</v>
      </c>
      <c r="D4" s="24">
        <v>69</v>
      </c>
      <c r="E4" s="3">
        <v>20725</v>
      </c>
      <c r="F4" t="s">
        <v>83</v>
      </c>
      <c r="G4" t="s">
        <v>84</v>
      </c>
      <c r="H4" s="4">
        <v>8100</v>
      </c>
      <c r="I4" s="4">
        <v>27500</v>
      </c>
      <c r="J4" s="5" t="s">
        <v>45</v>
      </c>
      <c r="K4" s="6">
        <v>42</v>
      </c>
      <c r="L4" t="str" cm="1">
        <f t="array" ref="L4">_xlfn.IFS(K4&gt;=26,"Alto",K4&lt;11,"Baixo",K4&lt;26,"Médio")</f>
        <v>Alto</v>
      </c>
      <c r="M4" t="str">
        <f>IF(AND(Tabela13[[#This Row],[flag_inadimplente]]="Sim",Tabela13[[#This Row],[nivel_risco]]="Alto"),"Negado","Aprovado")</f>
        <v>Aprovado</v>
      </c>
      <c r="N4" t="str">
        <f>IF(AND(Tabela13[[#This Row],[credito_tomado]]&gt;50000,Tabela13[[#This Row],[flag_inadimplente]]="Sim"),"Negado","Aprovado")</f>
        <v>Aprovado</v>
      </c>
      <c r="O4" s="4">
        <f>IF(AND(Tabela13[[#This Row],[analise_risco]]="Negado",Tabela13[[#This Row],[analise_credito]]="Negado"),0,IF(Tabela13[[#This Row],[status]]="Ativo",Tabela13[[#This Row],[valor_solicitado]]*8%,0))</f>
        <v>5800</v>
      </c>
      <c r="P4" s="4">
        <v>72500</v>
      </c>
    </row>
    <row r="5" spans="1:16">
      <c r="A5" t="s">
        <v>85</v>
      </c>
      <c r="B5" t="s">
        <v>86</v>
      </c>
      <c r="C5" s="2" t="s">
        <v>87</v>
      </c>
      <c r="D5" s="24">
        <v>55</v>
      </c>
      <c r="E5" s="3">
        <v>25895</v>
      </c>
      <c r="F5" t="s">
        <v>74</v>
      </c>
      <c r="G5" t="s">
        <v>75</v>
      </c>
      <c r="H5" s="4">
        <v>6800</v>
      </c>
      <c r="I5" s="4">
        <v>12000</v>
      </c>
      <c r="J5" s="5" t="s">
        <v>45</v>
      </c>
      <c r="K5" s="6">
        <v>6</v>
      </c>
      <c r="L5" t="str" cm="1">
        <f t="array" ref="L5">_xlfn.IFS(K5&gt;=26,"Alto",K5&lt;11,"Baixo",K5&lt;26,"Médio")</f>
        <v>Baixo</v>
      </c>
      <c r="M5" t="str">
        <f>IF(AND(Tabela13[[#This Row],[flag_inadimplente]]="Sim",Tabela13[[#This Row],[nivel_risco]]="Alto"),"Negado","Aprovado")</f>
        <v>Aprovado</v>
      </c>
      <c r="N5" t="str">
        <f>IF(AND(Tabela13[[#This Row],[credito_tomado]]&gt;50000,Tabela13[[#This Row],[flag_inadimplente]]="Sim"),"Negado","Aprovado")</f>
        <v>Aprovado</v>
      </c>
      <c r="O5" s="4">
        <f>IF(AND(Tabela13[[#This Row],[analise_risco]]="Negado",Tabela13[[#This Row],[analise_credito]]="Negado"),0,IF(Tabela13[[#This Row],[status]]="Ativo",Tabela13[[#This Row],[valor_solicitado]]*8%,0))</f>
        <v>0</v>
      </c>
      <c r="P5" s="4">
        <v>11000</v>
      </c>
    </row>
    <row r="6" spans="1:16">
      <c r="A6" t="s">
        <v>71</v>
      </c>
      <c r="B6" t="s">
        <v>88</v>
      </c>
      <c r="C6" s="2" t="s">
        <v>89</v>
      </c>
      <c r="D6" s="24">
        <v>56</v>
      </c>
      <c r="E6" s="3">
        <v>25525</v>
      </c>
      <c r="F6" t="s">
        <v>90</v>
      </c>
      <c r="G6" t="s">
        <v>90</v>
      </c>
      <c r="H6" s="4">
        <v>11100</v>
      </c>
      <c r="I6" s="4">
        <v>63000</v>
      </c>
      <c r="J6" s="5" t="s">
        <v>45</v>
      </c>
      <c r="K6" s="6">
        <v>0</v>
      </c>
      <c r="L6" t="str" cm="1">
        <f t="array" ref="L6">_xlfn.IFS(K6&gt;=26,"Alto",K6&lt;11,"Baixo",K6&lt;26,"Médio")</f>
        <v>Baixo</v>
      </c>
      <c r="M6" t="str">
        <f>IF(AND(Tabela13[[#This Row],[flag_inadimplente]]="Sim",Tabela13[[#This Row],[nivel_risco]]="Alto"),"Negado","Aprovado")</f>
        <v>Aprovado</v>
      </c>
      <c r="N6" t="str">
        <f>IF(AND(Tabela13[[#This Row],[credito_tomado]]&gt;50000,Tabela13[[#This Row],[flag_inadimplente]]="Sim"),"Negado","Aprovado")</f>
        <v>Aprovado</v>
      </c>
      <c r="O6" s="4">
        <f>IF(AND(Tabela13[[#This Row],[analise_risco]]="Negado",Tabela13[[#This Row],[analise_credito]]="Negado"),0,IF(Tabela13[[#This Row],[status]]="Ativo",Tabela13[[#This Row],[valor_solicitado]]*8%,0))</f>
        <v>4480</v>
      </c>
      <c r="P6" s="4">
        <v>56000</v>
      </c>
    </row>
    <row r="7" spans="1:16">
      <c r="A7" t="s">
        <v>85</v>
      </c>
      <c r="B7" t="s">
        <v>91</v>
      </c>
      <c r="C7" s="2" t="s">
        <v>92</v>
      </c>
      <c r="D7" s="24">
        <v>45</v>
      </c>
      <c r="E7" s="3">
        <v>29506</v>
      </c>
      <c r="F7" t="s">
        <v>93</v>
      </c>
      <c r="G7" t="s">
        <v>94</v>
      </c>
      <c r="H7" s="4">
        <v>5100</v>
      </c>
      <c r="I7" s="4">
        <v>25000</v>
      </c>
      <c r="J7" s="5" t="s">
        <v>45</v>
      </c>
      <c r="K7" s="6">
        <v>29</v>
      </c>
      <c r="L7" t="str" cm="1">
        <f t="array" ref="L7">_xlfn.IFS(K7&gt;=26,"Alto",K7&lt;11,"Baixo",K7&lt;26,"Médio")</f>
        <v>Alto</v>
      </c>
      <c r="M7" t="str">
        <f>IF(AND(Tabela13[[#This Row],[flag_inadimplente]]="Sim",Tabela13[[#This Row],[nivel_risco]]="Alto"),"Negado","Aprovado")</f>
        <v>Aprovado</v>
      </c>
      <c r="N7" t="str">
        <f>IF(AND(Tabela13[[#This Row],[credito_tomado]]&gt;50000,Tabela13[[#This Row],[flag_inadimplente]]="Sim"),"Negado","Aprovado")</f>
        <v>Aprovado</v>
      </c>
      <c r="O7" s="4">
        <f>IF(AND(Tabela13[[#This Row],[analise_risco]]="Negado",Tabela13[[#This Row],[analise_credito]]="Negado"),0,IF(Tabela13[[#This Row],[status]]="Ativo",Tabela13[[#This Row],[valor_solicitado]]*8%,0))</f>
        <v>0</v>
      </c>
      <c r="P7" s="4">
        <v>88000</v>
      </c>
    </row>
    <row r="8" spans="1:16">
      <c r="A8" t="s">
        <v>71</v>
      </c>
      <c r="B8" t="s">
        <v>95</v>
      </c>
      <c r="C8" s="2" t="s">
        <v>96</v>
      </c>
      <c r="D8" s="24">
        <v>65</v>
      </c>
      <c r="E8" s="3">
        <v>22337</v>
      </c>
      <c r="F8" t="s">
        <v>97</v>
      </c>
      <c r="G8" t="s">
        <v>98</v>
      </c>
      <c r="H8" s="4">
        <v>3800</v>
      </c>
      <c r="I8" s="4">
        <v>49500</v>
      </c>
      <c r="J8" s="5" t="s">
        <v>45</v>
      </c>
      <c r="K8" s="6">
        <v>16</v>
      </c>
      <c r="L8" t="str" cm="1">
        <f t="array" ref="L8">_xlfn.IFS(K8&gt;=26,"Alto",K8&lt;11,"Baixo",K8&lt;26,"Médio")</f>
        <v>Médio</v>
      </c>
      <c r="M8" t="str">
        <f>IF(AND(Tabela13[[#This Row],[flag_inadimplente]]="Sim",Tabela13[[#This Row],[nivel_risco]]="Alto"),"Negado","Aprovado")</f>
        <v>Aprovado</v>
      </c>
      <c r="N8" t="str">
        <f>IF(AND(Tabela13[[#This Row],[credito_tomado]]&gt;50000,Tabela13[[#This Row],[flag_inadimplente]]="Sim"),"Negado","Aprovado")</f>
        <v>Aprovado</v>
      </c>
      <c r="O8" s="4">
        <f>IF(AND(Tabela13[[#This Row],[analise_risco]]="Negado",Tabela13[[#This Row],[analise_credito]]="Negado"),0,IF(Tabela13[[#This Row],[status]]="Ativo",Tabela13[[#This Row],[valor_solicitado]]*8%,0))</f>
        <v>1240</v>
      </c>
      <c r="P8" s="4">
        <v>15500</v>
      </c>
    </row>
    <row r="9" spans="1:16">
      <c r="A9" t="s">
        <v>71</v>
      </c>
      <c r="B9" t="s">
        <v>99</v>
      </c>
      <c r="C9" s="2" t="s">
        <v>100</v>
      </c>
      <c r="D9" s="24">
        <v>19</v>
      </c>
      <c r="E9" s="3">
        <v>39016</v>
      </c>
      <c r="F9" t="s">
        <v>101</v>
      </c>
      <c r="G9" t="s">
        <v>102</v>
      </c>
      <c r="H9" s="4">
        <v>14900</v>
      </c>
      <c r="I9" s="4">
        <v>17000</v>
      </c>
      <c r="J9" s="5" t="s">
        <v>45</v>
      </c>
      <c r="K9" s="6">
        <v>20</v>
      </c>
      <c r="L9" t="str" cm="1">
        <f t="array" ref="L9">_xlfn.IFS(K9&gt;=26,"Alto",K9&lt;11,"Baixo",K9&lt;26,"Médio")</f>
        <v>Médio</v>
      </c>
      <c r="M9" t="str">
        <f>IF(AND(Tabela13[[#This Row],[flag_inadimplente]]="Sim",Tabela13[[#This Row],[nivel_risco]]="Alto"),"Negado","Aprovado")</f>
        <v>Aprovado</v>
      </c>
      <c r="N9" t="str">
        <f>IF(AND(Tabela13[[#This Row],[credito_tomado]]&gt;50000,Tabela13[[#This Row],[flag_inadimplente]]="Sim"),"Negado","Aprovado")</f>
        <v>Aprovado</v>
      </c>
      <c r="O9" s="4">
        <f>IF(AND(Tabela13[[#This Row],[analise_risco]]="Negado",Tabela13[[#This Row],[analise_credito]]="Negado"),0,IF(Tabela13[[#This Row],[status]]="Ativo",Tabela13[[#This Row],[valor_solicitado]]*8%,0))</f>
        <v>2360</v>
      </c>
      <c r="P9" s="4">
        <v>29500</v>
      </c>
    </row>
    <row r="10" spans="1:16">
      <c r="A10" t="s">
        <v>85</v>
      </c>
      <c r="B10" t="s">
        <v>103</v>
      </c>
      <c r="C10" s="2" t="s">
        <v>104</v>
      </c>
      <c r="D10" s="24">
        <v>66</v>
      </c>
      <c r="E10" s="3">
        <v>22101</v>
      </c>
      <c r="F10" t="s">
        <v>74</v>
      </c>
      <c r="G10" t="s">
        <v>75</v>
      </c>
      <c r="H10" s="4">
        <v>16800</v>
      </c>
      <c r="I10" s="4">
        <v>79500</v>
      </c>
      <c r="J10" s="5" t="s">
        <v>45</v>
      </c>
      <c r="K10" s="6">
        <v>36</v>
      </c>
      <c r="L10" t="str" cm="1">
        <f t="array" ref="L10">_xlfn.IFS(K10&gt;=26,"Alto",K10&lt;11,"Baixo",K10&lt;26,"Médio")</f>
        <v>Alto</v>
      </c>
      <c r="M10" t="str">
        <f>IF(AND(Tabela13[[#This Row],[flag_inadimplente]]="Sim",Tabela13[[#This Row],[nivel_risco]]="Alto"),"Negado","Aprovado")</f>
        <v>Aprovado</v>
      </c>
      <c r="N10" t="str">
        <f>IF(AND(Tabela13[[#This Row],[credito_tomado]]&gt;50000,Tabela13[[#This Row],[flag_inadimplente]]="Sim"),"Negado","Aprovado")</f>
        <v>Aprovado</v>
      </c>
      <c r="O10" s="4">
        <f>IF(AND(Tabela13[[#This Row],[analise_risco]]="Negado",Tabela13[[#This Row],[analise_credito]]="Negado"),0,IF(Tabela13[[#This Row],[status]]="Ativo",Tabela13[[#This Row],[valor_solicitado]]*8%,0))</f>
        <v>0</v>
      </c>
      <c r="P10" s="4">
        <v>1500</v>
      </c>
    </row>
    <row r="11" spans="1:16">
      <c r="A11" t="s">
        <v>71</v>
      </c>
      <c r="B11" t="s">
        <v>105</v>
      </c>
      <c r="C11" s="2" t="s">
        <v>106</v>
      </c>
      <c r="D11" s="24">
        <v>24</v>
      </c>
      <c r="E11" s="3">
        <v>37172</v>
      </c>
      <c r="F11" t="s">
        <v>107</v>
      </c>
      <c r="G11" t="s">
        <v>108</v>
      </c>
      <c r="H11" s="4">
        <v>21600</v>
      </c>
      <c r="I11" s="4">
        <v>25000</v>
      </c>
      <c r="J11" s="5" t="s">
        <v>45</v>
      </c>
      <c r="K11" s="6">
        <v>33</v>
      </c>
      <c r="L11" t="str" cm="1">
        <f t="array" ref="L11">_xlfn.IFS(K11&gt;=26,"Alto",K11&lt;11,"Baixo",K11&lt;26,"Médio")</f>
        <v>Alto</v>
      </c>
      <c r="M11" t="str">
        <f>IF(AND(Tabela13[[#This Row],[flag_inadimplente]]="Sim",Tabela13[[#This Row],[nivel_risco]]="Alto"),"Negado","Aprovado")</f>
        <v>Aprovado</v>
      </c>
      <c r="N11" t="str">
        <f>IF(AND(Tabela13[[#This Row],[credito_tomado]]&gt;50000,Tabela13[[#This Row],[flag_inadimplente]]="Sim"),"Negado","Aprovado")</f>
        <v>Aprovado</v>
      </c>
      <c r="O11" s="4">
        <f>IF(AND(Tabela13[[#This Row],[analise_risco]]="Negado",Tabela13[[#This Row],[analise_credito]]="Negado"),0,IF(Tabela13[[#This Row],[status]]="Ativo",Tabela13[[#This Row],[valor_solicitado]]*8%,0))</f>
        <v>1400</v>
      </c>
      <c r="P11" s="4">
        <v>17500</v>
      </c>
    </row>
    <row r="12" spans="1:16">
      <c r="A12" t="s">
        <v>71</v>
      </c>
      <c r="B12" t="s">
        <v>109</v>
      </c>
      <c r="C12" s="2" t="s">
        <v>110</v>
      </c>
      <c r="D12" s="24">
        <v>21</v>
      </c>
      <c r="E12" s="3">
        <v>38323</v>
      </c>
      <c r="F12" t="s">
        <v>83</v>
      </c>
      <c r="G12" t="s">
        <v>84</v>
      </c>
      <c r="H12" s="4">
        <v>3800</v>
      </c>
      <c r="I12" s="4">
        <v>0</v>
      </c>
      <c r="J12" s="5" t="s">
        <v>45</v>
      </c>
      <c r="K12" s="6">
        <v>25</v>
      </c>
      <c r="L12" t="str" cm="1">
        <f t="array" ref="L12">_xlfn.IFS(K12&gt;=26,"Alto",K12&lt;11,"Baixo",K12&lt;26,"Médio")</f>
        <v>Médio</v>
      </c>
      <c r="M12" t="str">
        <f>IF(AND(Tabela13[[#This Row],[flag_inadimplente]]="Sim",Tabela13[[#This Row],[nivel_risco]]="Alto"),"Negado","Aprovado")</f>
        <v>Aprovado</v>
      </c>
      <c r="N12" t="str">
        <f>IF(AND(Tabela13[[#This Row],[credito_tomado]]&gt;50000,Tabela13[[#This Row],[flag_inadimplente]]="Sim"),"Negado","Aprovado")</f>
        <v>Aprovado</v>
      </c>
      <c r="O12" s="4">
        <f>IF(AND(Tabela13[[#This Row],[analise_risco]]="Negado",Tabela13[[#This Row],[analise_credito]]="Negado"),0,IF(Tabela13[[#This Row],[status]]="Ativo",Tabela13[[#This Row],[valor_solicitado]]*8%,0))</f>
        <v>4000</v>
      </c>
      <c r="P12" s="4">
        <v>50000</v>
      </c>
    </row>
    <row r="13" spans="1:16">
      <c r="A13" t="s">
        <v>85</v>
      </c>
      <c r="B13" t="s">
        <v>111</v>
      </c>
      <c r="C13" s="2" t="s">
        <v>112</v>
      </c>
      <c r="D13" s="24">
        <v>49</v>
      </c>
      <c r="E13" s="3">
        <v>28049</v>
      </c>
      <c r="F13" t="s">
        <v>97</v>
      </c>
      <c r="G13" t="s">
        <v>98</v>
      </c>
      <c r="H13" s="4">
        <v>25200</v>
      </c>
      <c r="I13" s="4">
        <v>59500</v>
      </c>
      <c r="J13" s="5" t="s">
        <v>45</v>
      </c>
      <c r="K13" s="6">
        <v>37</v>
      </c>
      <c r="L13" t="str" cm="1">
        <f t="array" ref="L13">_xlfn.IFS(K13&gt;=26,"Alto",K13&lt;11,"Baixo",K13&lt;26,"Médio")</f>
        <v>Alto</v>
      </c>
      <c r="M13" t="str">
        <f>IF(AND(Tabela13[[#This Row],[flag_inadimplente]]="Sim",Tabela13[[#This Row],[nivel_risco]]="Alto"),"Negado","Aprovado")</f>
        <v>Aprovado</v>
      </c>
      <c r="N13" t="str">
        <f>IF(AND(Tabela13[[#This Row],[credito_tomado]]&gt;50000,Tabela13[[#This Row],[flag_inadimplente]]="Sim"),"Negado","Aprovado")</f>
        <v>Aprovado</v>
      </c>
      <c r="O13" s="4">
        <f>IF(AND(Tabela13[[#This Row],[analise_risco]]="Negado",Tabela13[[#This Row],[analise_credito]]="Negado"),0,IF(Tabela13[[#This Row],[status]]="Ativo",Tabela13[[#This Row],[valor_solicitado]]*8%,0))</f>
        <v>0</v>
      </c>
      <c r="P13" s="4">
        <v>86500</v>
      </c>
    </row>
    <row r="14" spans="1:16">
      <c r="A14" t="s">
        <v>71</v>
      </c>
      <c r="B14" t="s">
        <v>113</v>
      </c>
      <c r="C14" s="2" t="s">
        <v>114</v>
      </c>
      <c r="D14" s="24">
        <v>70</v>
      </c>
      <c r="E14" s="3">
        <v>20570</v>
      </c>
      <c r="F14" t="s">
        <v>115</v>
      </c>
      <c r="G14" t="s">
        <v>75</v>
      </c>
      <c r="H14" s="4">
        <v>16300</v>
      </c>
      <c r="I14" s="4">
        <v>16500</v>
      </c>
      <c r="J14" s="5" t="s">
        <v>45</v>
      </c>
      <c r="K14" s="6">
        <v>25</v>
      </c>
      <c r="L14" t="str" cm="1">
        <f t="array" ref="L14">_xlfn.IFS(K14&gt;=26,"Alto",K14&lt;11,"Baixo",K14&lt;26,"Médio")</f>
        <v>Médio</v>
      </c>
      <c r="M14" t="str">
        <f>IF(AND(Tabela13[[#This Row],[flag_inadimplente]]="Sim",Tabela13[[#This Row],[nivel_risco]]="Alto"),"Negado","Aprovado")</f>
        <v>Aprovado</v>
      </c>
      <c r="N14" t="str">
        <f>IF(AND(Tabela13[[#This Row],[credito_tomado]]&gt;50000,Tabela13[[#This Row],[flag_inadimplente]]="Sim"),"Negado","Aprovado")</f>
        <v>Aprovado</v>
      </c>
      <c r="O14" s="4">
        <f>IF(AND(Tabela13[[#This Row],[analise_risco]]="Negado",Tabela13[[#This Row],[analise_credito]]="Negado"),0,IF(Tabela13[[#This Row],[status]]="Ativo",Tabela13[[#This Row],[valor_solicitado]]*8%,0))</f>
        <v>5240</v>
      </c>
      <c r="P14" s="4">
        <v>65500</v>
      </c>
    </row>
    <row r="15" spans="1:16">
      <c r="A15" t="s">
        <v>71</v>
      </c>
      <c r="B15" t="s">
        <v>116</v>
      </c>
      <c r="C15" s="2" t="s">
        <v>117</v>
      </c>
      <c r="D15" s="24">
        <v>50</v>
      </c>
      <c r="E15" s="3">
        <v>27886</v>
      </c>
      <c r="F15" t="s">
        <v>90</v>
      </c>
      <c r="G15" t="s">
        <v>90</v>
      </c>
      <c r="H15" s="4">
        <v>16100</v>
      </c>
      <c r="I15" s="4">
        <v>8000</v>
      </c>
      <c r="J15" s="5" t="s">
        <v>46</v>
      </c>
      <c r="K15" s="6">
        <v>30</v>
      </c>
      <c r="L15" t="str" cm="1">
        <f t="array" ref="L15">_xlfn.IFS(K15&gt;=26,"Alto",K15&lt;11,"Baixo",K15&lt;26,"Médio")</f>
        <v>Alto</v>
      </c>
      <c r="M15" t="str">
        <f>IF(AND(Tabela13[[#This Row],[flag_inadimplente]]="Sim",Tabela13[[#This Row],[nivel_risco]]="Alto"),"Negado","Aprovado")</f>
        <v>Negado</v>
      </c>
      <c r="N15" t="str">
        <f>IF(AND(Tabela13[[#This Row],[credito_tomado]]&gt;50000,Tabela13[[#This Row],[flag_inadimplente]]="Sim"),"Negado","Aprovado")</f>
        <v>Aprovado</v>
      </c>
      <c r="O15" s="4">
        <f>IF(AND(Tabela13[[#This Row],[analise_risco]]="Negado",Tabela13[[#This Row],[analise_credito]]="Negado"),0,IF(Tabela13[[#This Row],[status]]="Ativo",Tabela13[[#This Row],[valor_solicitado]]*8%,0))</f>
        <v>2160</v>
      </c>
      <c r="P15" s="4">
        <v>27000</v>
      </c>
    </row>
    <row r="16" spans="1:16">
      <c r="A16" t="s">
        <v>85</v>
      </c>
      <c r="B16" t="s">
        <v>118</v>
      </c>
      <c r="C16" s="2" t="s">
        <v>119</v>
      </c>
      <c r="D16" s="24">
        <v>51</v>
      </c>
      <c r="E16" s="3">
        <v>27590</v>
      </c>
      <c r="F16" t="s">
        <v>97</v>
      </c>
      <c r="G16" t="s">
        <v>98</v>
      </c>
      <c r="H16" s="4">
        <v>19400</v>
      </c>
      <c r="I16" s="4">
        <v>4000</v>
      </c>
      <c r="J16" s="5" t="s">
        <v>45</v>
      </c>
      <c r="K16" s="6">
        <v>30</v>
      </c>
      <c r="L16" t="str" cm="1">
        <f t="array" ref="L16">_xlfn.IFS(K16&gt;=26,"Alto",K16&lt;11,"Baixo",K16&lt;26,"Médio")</f>
        <v>Alto</v>
      </c>
      <c r="M16" t="str">
        <f>IF(AND(Tabela13[[#This Row],[flag_inadimplente]]="Sim",Tabela13[[#This Row],[nivel_risco]]="Alto"),"Negado","Aprovado")</f>
        <v>Aprovado</v>
      </c>
      <c r="N16" t="str">
        <f>IF(AND(Tabela13[[#This Row],[credito_tomado]]&gt;50000,Tabela13[[#This Row],[flag_inadimplente]]="Sim"),"Negado","Aprovado")</f>
        <v>Aprovado</v>
      </c>
      <c r="O16" s="4">
        <f>IF(AND(Tabela13[[#This Row],[analise_risco]]="Negado",Tabela13[[#This Row],[analise_credito]]="Negado"),0,IF(Tabela13[[#This Row],[status]]="Ativo",Tabela13[[#This Row],[valor_solicitado]]*8%,0))</f>
        <v>0</v>
      </c>
      <c r="P16" s="4">
        <v>38500</v>
      </c>
    </row>
    <row r="17" spans="1:16">
      <c r="A17" t="s">
        <v>71</v>
      </c>
      <c r="B17" t="s">
        <v>120</v>
      </c>
      <c r="C17" s="2" t="s">
        <v>121</v>
      </c>
      <c r="D17" s="24">
        <v>33</v>
      </c>
      <c r="E17" s="3">
        <v>34144</v>
      </c>
      <c r="F17" t="s">
        <v>122</v>
      </c>
      <c r="G17" t="s">
        <v>123</v>
      </c>
      <c r="H17" s="4">
        <v>21500</v>
      </c>
      <c r="I17" s="4">
        <v>0</v>
      </c>
      <c r="J17" s="5" t="s">
        <v>45</v>
      </c>
      <c r="K17" s="6">
        <v>22</v>
      </c>
      <c r="L17" t="str" cm="1">
        <f t="array" ref="L17">_xlfn.IFS(K17&gt;=26,"Alto",K17&lt;11,"Baixo",K17&lt;26,"Médio")</f>
        <v>Médio</v>
      </c>
      <c r="M17" t="str">
        <f>IF(AND(Tabela13[[#This Row],[flag_inadimplente]]="Sim",Tabela13[[#This Row],[nivel_risco]]="Alto"),"Negado","Aprovado")</f>
        <v>Aprovado</v>
      </c>
      <c r="N17" t="str">
        <f>IF(AND(Tabela13[[#This Row],[credito_tomado]]&gt;50000,Tabela13[[#This Row],[flag_inadimplente]]="Sim"),"Negado","Aprovado")</f>
        <v>Aprovado</v>
      </c>
      <c r="O17" s="4">
        <f>IF(AND(Tabela13[[#This Row],[analise_risco]]="Negado",Tabela13[[#This Row],[analise_credito]]="Negado"),0,IF(Tabela13[[#This Row],[status]]="Ativo",Tabela13[[#This Row],[valor_solicitado]]*8%,0))</f>
        <v>4120</v>
      </c>
      <c r="P17" s="4">
        <v>51500</v>
      </c>
    </row>
    <row r="18" spans="1:16">
      <c r="A18" t="s">
        <v>85</v>
      </c>
      <c r="B18" t="s">
        <v>124</v>
      </c>
      <c r="C18" s="2" t="s">
        <v>125</v>
      </c>
      <c r="D18" s="24">
        <v>29</v>
      </c>
      <c r="E18" s="3">
        <v>35607</v>
      </c>
      <c r="F18" t="s">
        <v>126</v>
      </c>
      <c r="G18" t="s">
        <v>98</v>
      </c>
      <c r="H18" s="4">
        <v>13800</v>
      </c>
      <c r="I18" s="4">
        <v>41500</v>
      </c>
      <c r="J18" s="5" t="s">
        <v>45</v>
      </c>
      <c r="K18" s="6">
        <v>34</v>
      </c>
      <c r="L18" t="str" cm="1">
        <f t="array" ref="L18">_xlfn.IFS(K18&gt;=26,"Alto",K18&lt;11,"Baixo",K18&lt;26,"Médio")</f>
        <v>Alto</v>
      </c>
      <c r="M18" t="str">
        <f>IF(AND(Tabela13[[#This Row],[flag_inadimplente]]="Sim",Tabela13[[#This Row],[nivel_risco]]="Alto"),"Negado","Aprovado")</f>
        <v>Aprovado</v>
      </c>
      <c r="N18" t="str">
        <f>IF(AND(Tabela13[[#This Row],[credito_tomado]]&gt;50000,Tabela13[[#This Row],[flag_inadimplente]]="Sim"),"Negado","Aprovado")</f>
        <v>Aprovado</v>
      </c>
      <c r="O18" s="4">
        <f>IF(AND(Tabela13[[#This Row],[analise_risco]]="Negado",Tabela13[[#This Row],[analise_credito]]="Negado"),0,IF(Tabela13[[#This Row],[status]]="Ativo",Tabela13[[#This Row],[valor_solicitado]]*8%,0))</f>
        <v>0</v>
      </c>
      <c r="P18" s="4">
        <v>66000</v>
      </c>
    </row>
    <row r="19" spans="1:16">
      <c r="A19" t="s">
        <v>71</v>
      </c>
      <c r="B19" t="s">
        <v>127</v>
      </c>
      <c r="C19" s="2" t="s">
        <v>128</v>
      </c>
      <c r="D19" s="24">
        <v>35</v>
      </c>
      <c r="E19" s="3">
        <v>33444</v>
      </c>
      <c r="F19" t="s">
        <v>122</v>
      </c>
      <c r="G19" t="s">
        <v>123</v>
      </c>
      <c r="H19" s="4">
        <v>8400</v>
      </c>
      <c r="I19" s="4">
        <v>62500</v>
      </c>
      <c r="J19" s="5" t="s">
        <v>45</v>
      </c>
      <c r="K19" s="6">
        <v>31</v>
      </c>
      <c r="L19" t="str" cm="1">
        <f t="array" ref="L19">_xlfn.IFS(K19&gt;=26,"Alto",K19&lt;11,"Baixo",K19&lt;26,"Médio")</f>
        <v>Alto</v>
      </c>
      <c r="M19" t="str">
        <f>IF(AND(Tabela13[[#This Row],[flag_inadimplente]]="Sim",Tabela13[[#This Row],[nivel_risco]]="Alto"),"Negado","Aprovado")</f>
        <v>Aprovado</v>
      </c>
      <c r="N19" t="str">
        <f>IF(AND(Tabela13[[#This Row],[credito_tomado]]&gt;50000,Tabela13[[#This Row],[flag_inadimplente]]="Sim"),"Negado","Aprovado")</f>
        <v>Aprovado</v>
      </c>
      <c r="O19" s="4">
        <f>IF(AND(Tabela13[[#This Row],[analise_risco]]="Negado",Tabela13[[#This Row],[analise_credito]]="Negado"),0,IF(Tabela13[[#This Row],[status]]="Ativo",Tabela13[[#This Row],[valor_solicitado]]*8%,0))</f>
        <v>6680</v>
      </c>
      <c r="P19" s="4">
        <v>83500</v>
      </c>
    </row>
    <row r="20" spans="1:16">
      <c r="A20" t="s">
        <v>71</v>
      </c>
      <c r="B20" t="s">
        <v>129</v>
      </c>
      <c r="C20" s="2" t="s">
        <v>130</v>
      </c>
      <c r="D20" s="24">
        <v>59</v>
      </c>
      <c r="E20" s="3">
        <v>24710</v>
      </c>
      <c r="F20" t="s">
        <v>83</v>
      </c>
      <c r="G20" t="s">
        <v>84</v>
      </c>
      <c r="H20" s="4">
        <v>19900</v>
      </c>
      <c r="I20" s="4">
        <v>55000</v>
      </c>
      <c r="J20" s="5" t="s">
        <v>45</v>
      </c>
      <c r="K20" s="6">
        <v>31</v>
      </c>
      <c r="L20" t="str" cm="1">
        <f t="array" ref="L20">_xlfn.IFS(K20&gt;=26,"Alto",K20&lt;11,"Baixo",K20&lt;26,"Médio")</f>
        <v>Alto</v>
      </c>
      <c r="M20" t="str">
        <f>IF(AND(Tabela13[[#This Row],[flag_inadimplente]]="Sim",Tabela13[[#This Row],[nivel_risco]]="Alto"),"Negado","Aprovado")</f>
        <v>Aprovado</v>
      </c>
      <c r="N20" t="str">
        <f>IF(AND(Tabela13[[#This Row],[credito_tomado]]&gt;50000,Tabela13[[#This Row],[flag_inadimplente]]="Sim"),"Negado","Aprovado")</f>
        <v>Aprovado</v>
      </c>
      <c r="O20" s="4">
        <f>IF(AND(Tabela13[[#This Row],[analise_risco]]="Negado",Tabela13[[#This Row],[analise_credito]]="Negado"),0,IF(Tabela13[[#This Row],[status]]="Ativo",Tabela13[[#This Row],[valor_solicitado]]*8%,0))</f>
        <v>8000</v>
      </c>
      <c r="P20" s="4">
        <v>100000</v>
      </c>
    </row>
    <row r="21" spans="1:16">
      <c r="A21" t="s">
        <v>71</v>
      </c>
      <c r="B21" t="s">
        <v>129</v>
      </c>
      <c r="C21" s="2" t="s">
        <v>131</v>
      </c>
      <c r="D21" s="24" t="s">
        <v>80</v>
      </c>
      <c r="E21" s="3">
        <v>32260</v>
      </c>
      <c r="F21" t="s">
        <v>101</v>
      </c>
      <c r="G21" t="s">
        <v>102</v>
      </c>
      <c r="H21" s="4">
        <v>17600</v>
      </c>
      <c r="I21" s="4">
        <v>0</v>
      </c>
      <c r="J21" s="5" t="s">
        <v>46</v>
      </c>
      <c r="K21" s="6">
        <v>26</v>
      </c>
      <c r="L21" t="str" cm="1">
        <f t="array" ref="L21">_xlfn.IFS(K21&gt;=26,"Alto",K21&lt;11,"Baixo",K21&lt;26,"Médio")</f>
        <v>Alto</v>
      </c>
      <c r="M21" t="str">
        <f>IF(AND(Tabela13[[#This Row],[flag_inadimplente]]="Sim",Tabela13[[#This Row],[nivel_risco]]="Alto"),"Negado","Aprovado")</f>
        <v>Negado</v>
      </c>
      <c r="N21" t="str">
        <f>IF(AND(Tabela13[[#This Row],[credito_tomado]]&gt;50000,Tabela13[[#This Row],[flag_inadimplente]]="Sim"),"Negado","Aprovado")</f>
        <v>Aprovado</v>
      </c>
      <c r="O21" s="4">
        <f>IF(AND(Tabela13[[#This Row],[analise_risco]]="Negado",Tabela13[[#This Row],[analise_credito]]="Negado"),0,IF(Tabela13[[#This Row],[status]]="Ativo",Tabela13[[#This Row],[valor_solicitado]]*8%,0))</f>
        <v>3800</v>
      </c>
      <c r="P21" s="4">
        <v>47500</v>
      </c>
    </row>
    <row r="22" spans="1:16">
      <c r="A22" t="s">
        <v>71</v>
      </c>
      <c r="B22" t="s">
        <v>132</v>
      </c>
      <c r="C22" s="2" t="s">
        <v>133</v>
      </c>
      <c r="D22" s="24">
        <v>37</v>
      </c>
      <c r="E22" s="3">
        <v>32680</v>
      </c>
      <c r="F22" t="s">
        <v>115</v>
      </c>
      <c r="G22" t="s">
        <v>75</v>
      </c>
      <c r="H22" s="4">
        <v>28900</v>
      </c>
      <c r="I22" s="4">
        <v>71000</v>
      </c>
      <c r="J22" s="5" t="s">
        <v>45</v>
      </c>
      <c r="K22" s="6">
        <v>28</v>
      </c>
      <c r="L22" t="str" cm="1">
        <f t="array" ref="L22">_xlfn.IFS(K22&gt;=26,"Alto",K22&lt;11,"Baixo",K22&lt;26,"Médio")</f>
        <v>Alto</v>
      </c>
      <c r="M22" t="str">
        <f>IF(AND(Tabela13[[#This Row],[flag_inadimplente]]="Sim",Tabela13[[#This Row],[nivel_risco]]="Alto"),"Negado","Aprovado")</f>
        <v>Aprovado</v>
      </c>
      <c r="N22" t="str">
        <f>IF(AND(Tabela13[[#This Row],[credito_tomado]]&gt;50000,Tabela13[[#This Row],[flag_inadimplente]]="Sim"),"Negado","Aprovado")</f>
        <v>Aprovado</v>
      </c>
      <c r="O22" s="4">
        <f>IF(AND(Tabela13[[#This Row],[analise_risco]]="Negado",Tabela13[[#This Row],[analise_credito]]="Negado"),0,IF(Tabela13[[#This Row],[status]]="Ativo",Tabela13[[#This Row],[valor_solicitado]]*8%,0))</f>
        <v>2920</v>
      </c>
      <c r="P22" s="4">
        <v>36500</v>
      </c>
    </row>
    <row r="23" spans="1:16">
      <c r="A23" t="s">
        <v>71</v>
      </c>
      <c r="B23" t="s">
        <v>134</v>
      </c>
      <c r="C23" s="2" t="s">
        <v>80</v>
      </c>
      <c r="D23" s="24">
        <v>73</v>
      </c>
      <c r="E23" s="3">
        <v>19538</v>
      </c>
      <c r="F23" t="s">
        <v>122</v>
      </c>
      <c r="G23" t="s">
        <v>123</v>
      </c>
      <c r="H23" s="4">
        <v>12700</v>
      </c>
      <c r="I23" s="4">
        <v>79500</v>
      </c>
      <c r="J23" s="5" t="s">
        <v>45</v>
      </c>
      <c r="K23" s="6">
        <v>35</v>
      </c>
      <c r="L23" t="str" cm="1">
        <f t="array" ref="L23">_xlfn.IFS(K23&gt;=26,"Alto",K23&lt;11,"Baixo",K23&lt;26,"Médio")</f>
        <v>Alto</v>
      </c>
      <c r="M23" t="str">
        <f>IF(AND(Tabela13[[#This Row],[flag_inadimplente]]="Sim",Tabela13[[#This Row],[nivel_risco]]="Alto"),"Negado","Aprovado")</f>
        <v>Aprovado</v>
      </c>
      <c r="N23" t="str">
        <f>IF(AND(Tabela13[[#This Row],[credito_tomado]]&gt;50000,Tabela13[[#This Row],[flag_inadimplente]]="Sim"),"Negado","Aprovado")</f>
        <v>Aprovado</v>
      </c>
      <c r="O23" s="4">
        <f>IF(AND(Tabela13[[#This Row],[analise_risco]]="Negado",Tabela13[[#This Row],[analise_credito]]="Negado"),0,IF(Tabela13[[#This Row],[status]]="Ativo",Tabela13[[#This Row],[valor_solicitado]]*8%,0))</f>
        <v>3120</v>
      </c>
      <c r="P23" s="4">
        <v>39000</v>
      </c>
    </row>
    <row r="24" spans="1:16">
      <c r="A24" t="s">
        <v>71</v>
      </c>
      <c r="B24" t="s">
        <v>135</v>
      </c>
      <c r="C24" s="2" t="s">
        <v>136</v>
      </c>
      <c r="D24" s="24">
        <v>55</v>
      </c>
      <c r="E24" s="3">
        <v>26104</v>
      </c>
      <c r="F24" t="s">
        <v>101</v>
      </c>
      <c r="G24" t="s">
        <v>102</v>
      </c>
      <c r="H24" s="4">
        <v>22100</v>
      </c>
      <c r="I24" s="4">
        <v>41500</v>
      </c>
      <c r="J24" s="5" t="s">
        <v>45</v>
      </c>
      <c r="K24" s="6">
        <v>18</v>
      </c>
      <c r="L24" t="str" cm="1">
        <f t="array" ref="L24">_xlfn.IFS(K24&gt;=26,"Alto",K24&lt;11,"Baixo",K24&lt;26,"Médio")</f>
        <v>Médio</v>
      </c>
      <c r="M24" t="str">
        <f>IF(AND(Tabela13[[#This Row],[flag_inadimplente]]="Sim",Tabela13[[#This Row],[nivel_risco]]="Alto"),"Negado","Aprovado")</f>
        <v>Aprovado</v>
      </c>
      <c r="N24" t="str">
        <f>IF(AND(Tabela13[[#This Row],[credito_tomado]]&gt;50000,Tabela13[[#This Row],[flag_inadimplente]]="Sim"),"Negado","Aprovado")</f>
        <v>Aprovado</v>
      </c>
      <c r="O24" s="4">
        <f>IF(AND(Tabela13[[#This Row],[analise_risco]]="Negado",Tabela13[[#This Row],[analise_credito]]="Negado"),0,IF(Tabela13[[#This Row],[status]]="Ativo",Tabela13[[#This Row],[valor_solicitado]]*8%,0))</f>
        <v>5200</v>
      </c>
      <c r="P24" s="4">
        <v>65000</v>
      </c>
    </row>
    <row r="25" spans="1:16">
      <c r="A25" t="s">
        <v>85</v>
      </c>
      <c r="B25" t="s">
        <v>137</v>
      </c>
      <c r="C25" s="2" t="s">
        <v>138</v>
      </c>
      <c r="D25" s="24">
        <v>25</v>
      </c>
      <c r="E25" s="3">
        <v>37131</v>
      </c>
      <c r="F25" t="s">
        <v>139</v>
      </c>
      <c r="G25" t="s">
        <v>140</v>
      </c>
      <c r="H25" s="4">
        <v>24500</v>
      </c>
      <c r="I25" s="4" t="s">
        <v>80</v>
      </c>
      <c r="J25" s="7" t="s">
        <v>80</v>
      </c>
      <c r="K25" s="6">
        <v>0</v>
      </c>
      <c r="L25" t="str" cm="1">
        <f t="array" ref="L25">_xlfn.IFS(K25&gt;=26,"Alto",K25&lt;11,"Baixo",K25&lt;26,"Médio")</f>
        <v>Baixo</v>
      </c>
      <c r="M25" t="str">
        <f>IF(AND(Tabela13[[#This Row],[flag_inadimplente]]="Sim",Tabela13[[#This Row],[nivel_risco]]="Alto"),"Negado","Aprovado")</f>
        <v>Aprovado</v>
      </c>
      <c r="N25" t="str">
        <f>IF(AND(Tabela13[[#This Row],[credito_tomado]]&gt;50000,Tabela13[[#This Row],[flag_inadimplente]]="Sim"),"Negado","Aprovado")</f>
        <v>Aprovado</v>
      </c>
      <c r="O25" s="4">
        <f>IF(AND(Tabela13[[#This Row],[analise_risco]]="Negado",Tabela13[[#This Row],[analise_credito]]="Negado"),0,IF(Tabela13[[#This Row],[status]]="Ativo",Tabela13[[#This Row],[valor_solicitado]]*8%,0))</f>
        <v>0</v>
      </c>
      <c r="P25" s="4">
        <v>55000</v>
      </c>
    </row>
    <row r="26" spans="1:16">
      <c r="A26" t="s">
        <v>71</v>
      </c>
      <c r="B26" t="s">
        <v>141</v>
      </c>
      <c r="C26" s="2" t="s">
        <v>142</v>
      </c>
      <c r="D26" s="24">
        <v>72</v>
      </c>
      <c r="E26" s="3">
        <v>19800</v>
      </c>
      <c r="F26" t="s">
        <v>83</v>
      </c>
      <c r="G26" t="s">
        <v>84</v>
      </c>
      <c r="H26" s="4">
        <v>24300</v>
      </c>
      <c r="I26" s="4">
        <v>13500</v>
      </c>
      <c r="J26" s="5" t="s">
        <v>45</v>
      </c>
      <c r="K26" s="6">
        <v>33</v>
      </c>
      <c r="L26" t="str" cm="1">
        <f t="array" ref="L26">_xlfn.IFS(K26&gt;=26,"Alto",K26&lt;11,"Baixo",K26&lt;26,"Médio")</f>
        <v>Alto</v>
      </c>
      <c r="M26" t="str">
        <f>IF(AND(Tabela13[[#This Row],[flag_inadimplente]]="Sim",Tabela13[[#This Row],[nivel_risco]]="Alto"),"Negado","Aprovado")</f>
        <v>Aprovado</v>
      </c>
      <c r="N26" t="str">
        <f>IF(AND(Tabela13[[#This Row],[credito_tomado]]&gt;50000,Tabela13[[#This Row],[flag_inadimplente]]="Sim"),"Negado","Aprovado")</f>
        <v>Aprovado</v>
      </c>
      <c r="O26" s="4">
        <f>IF(AND(Tabela13[[#This Row],[analise_risco]]="Negado",Tabela13[[#This Row],[analise_credito]]="Negado"),0,IF(Tabela13[[#This Row],[status]]="Ativo",Tabela13[[#This Row],[valor_solicitado]]*8%,0))</f>
        <v>1160</v>
      </c>
      <c r="P26" s="4">
        <v>14500</v>
      </c>
    </row>
    <row r="27" spans="1:16">
      <c r="A27" t="s">
        <v>85</v>
      </c>
      <c r="B27" t="s">
        <v>143</v>
      </c>
      <c r="C27" s="2" t="s">
        <v>144</v>
      </c>
      <c r="D27" s="24">
        <v>44</v>
      </c>
      <c r="E27" s="3">
        <v>29948</v>
      </c>
      <c r="F27" t="s">
        <v>90</v>
      </c>
      <c r="G27" t="s">
        <v>90</v>
      </c>
      <c r="H27" s="4" t="s">
        <v>80</v>
      </c>
      <c r="I27" s="4">
        <v>0</v>
      </c>
      <c r="J27" s="5" t="s">
        <v>45</v>
      </c>
      <c r="K27" s="6">
        <v>4</v>
      </c>
      <c r="L27" t="str" cm="1">
        <f t="array" ref="L27">_xlfn.IFS(K27&gt;=26,"Alto",K27&lt;11,"Baixo",K27&lt;26,"Médio")</f>
        <v>Baixo</v>
      </c>
      <c r="M27" t="str">
        <f>IF(AND(Tabela13[[#This Row],[flag_inadimplente]]="Sim",Tabela13[[#This Row],[nivel_risco]]="Alto"),"Negado","Aprovado")</f>
        <v>Aprovado</v>
      </c>
      <c r="N27" t="str">
        <f>IF(AND(Tabela13[[#This Row],[credito_tomado]]&gt;50000,Tabela13[[#This Row],[flag_inadimplente]]="Sim"),"Negado","Aprovado")</f>
        <v>Aprovado</v>
      </c>
      <c r="O27" s="4">
        <f>IF(AND(Tabela13[[#This Row],[analise_risco]]="Negado",Tabela13[[#This Row],[analise_credito]]="Negado"),0,IF(Tabela13[[#This Row],[status]]="Ativo",Tabela13[[#This Row],[valor_solicitado]]*8%,0))</f>
        <v>0</v>
      </c>
      <c r="P27" s="4">
        <v>80000</v>
      </c>
    </row>
    <row r="28" spans="1:16">
      <c r="A28" t="s">
        <v>71</v>
      </c>
      <c r="B28" t="s">
        <v>145</v>
      </c>
      <c r="C28" s="2" t="s">
        <v>146</v>
      </c>
      <c r="D28" s="24">
        <v>20</v>
      </c>
      <c r="E28" s="3">
        <v>38957</v>
      </c>
      <c r="F28" t="s">
        <v>147</v>
      </c>
      <c r="G28" t="s">
        <v>98</v>
      </c>
      <c r="H28" s="4">
        <v>18200</v>
      </c>
      <c r="I28" s="4" t="s">
        <v>80</v>
      </c>
      <c r="J28" s="5" t="s">
        <v>45</v>
      </c>
      <c r="K28" s="6">
        <v>23</v>
      </c>
      <c r="L28" t="str" cm="1">
        <f t="array" ref="L28">_xlfn.IFS(K28&gt;=26,"Alto",K28&lt;11,"Baixo",K28&lt;26,"Médio")</f>
        <v>Médio</v>
      </c>
      <c r="M28" t="str">
        <f>IF(AND(Tabela13[[#This Row],[flag_inadimplente]]="Sim",Tabela13[[#This Row],[nivel_risco]]="Alto"),"Negado","Aprovado")</f>
        <v>Aprovado</v>
      </c>
      <c r="N28" t="str">
        <f>IF(AND(Tabela13[[#This Row],[credito_tomado]]&gt;50000,Tabela13[[#This Row],[flag_inadimplente]]="Sim"),"Negado","Aprovado")</f>
        <v>Aprovado</v>
      </c>
      <c r="O28" s="4">
        <f>IF(AND(Tabela13[[#This Row],[analise_risco]]="Negado",Tabela13[[#This Row],[analise_credito]]="Negado"),0,IF(Tabela13[[#This Row],[status]]="Ativo",Tabela13[[#This Row],[valor_solicitado]]*8%,0))</f>
        <v>4920</v>
      </c>
      <c r="P28" s="4">
        <v>61500</v>
      </c>
    </row>
    <row r="29" spans="1:16">
      <c r="A29" t="s">
        <v>71</v>
      </c>
      <c r="B29" t="s">
        <v>145</v>
      </c>
      <c r="C29" s="2" t="s">
        <v>148</v>
      </c>
      <c r="D29" s="24">
        <v>66</v>
      </c>
      <c r="E29" s="3">
        <v>22151</v>
      </c>
      <c r="F29" t="s">
        <v>149</v>
      </c>
      <c r="G29" t="s">
        <v>79</v>
      </c>
      <c r="H29" s="4">
        <v>11800</v>
      </c>
      <c r="I29" s="4">
        <v>2000</v>
      </c>
      <c r="J29" s="5" t="s">
        <v>46</v>
      </c>
      <c r="K29" s="6">
        <v>21</v>
      </c>
      <c r="L29" t="str" cm="1">
        <f t="array" ref="L29">_xlfn.IFS(K29&gt;=26,"Alto",K29&lt;11,"Baixo",K29&lt;26,"Médio")</f>
        <v>Médio</v>
      </c>
      <c r="M29" t="str">
        <f>IF(AND(Tabela13[[#This Row],[flag_inadimplente]]="Sim",Tabela13[[#This Row],[nivel_risco]]="Alto"),"Negado","Aprovado")</f>
        <v>Aprovado</v>
      </c>
      <c r="N29" t="str">
        <f>IF(AND(Tabela13[[#This Row],[credito_tomado]]&gt;50000,Tabela13[[#This Row],[flag_inadimplente]]="Sim"),"Negado","Aprovado")</f>
        <v>Aprovado</v>
      </c>
      <c r="O29" s="4">
        <f>IF(AND(Tabela13[[#This Row],[analise_risco]]="Negado",Tabela13[[#This Row],[analise_credito]]="Negado"),0,IF(Tabela13[[#This Row],[status]]="Ativo",Tabela13[[#This Row],[valor_solicitado]]*8%,0))</f>
        <v>5800</v>
      </c>
      <c r="P29" s="4">
        <v>72500</v>
      </c>
    </row>
    <row r="30" spans="1:16">
      <c r="A30" t="s">
        <v>71</v>
      </c>
      <c r="B30" t="s">
        <v>150</v>
      </c>
      <c r="C30" s="2" t="s">
        <v>151</v>
      </c>
      <c r="D30" s="24">
        <v>23</v>
      </c>
      <c r="E30" s="3">
        <v>37785</v>
      </c>
      <c r="F30" t="s">
        <v>152</v>
      </c>
      <c r="G30" t="s">
        <v>123</v>
      </c>
      <c r="H30" s="4">
        <v>17900</v>
      </c>
      <c r="I30" s="4">
        <v>28000</v>
      </c>
      <c r="J30" s="5" t="s">
        <v>45</v>
      </c>
      <c r="K30" s="6">
        <v>41</v>
      </c>
      <c r="L30" t="str" cm="1">
        <f t="array" ref="L30">_xlfn.IFS(K30&gt;=26,"Alto",K30&lt;11,"Baixo",K30&lt;26,"Médio")</f>
        <v>Alto</v>
      </c>
      <c r="M30" t="str">
        <f>IF(AND(Tabela13[[#This Row],[flag_inadimplente]]="Sim",Tabela13[[#This Row],[nivel_risco]]="Alto"),"Negado","Aprovado")</f>
        <v>Aprovado</v>
      </c>
      <c r="N30" t="str">
        <f>IF(AND(Tabela13[[#This Row],[credito_tomado]]&gt;50000,Tabela13[[#This Row],[flag_inadimplente]]="Sim"),"Negado","Aprovado")</f>
        <v>Aprovado</v>
      </c>
      <c r="O30" s="4">
        <f>IF(AND(Tabela13[[#This Row],[analise_risco]]="Negado",Tabela13[[#This Row],[analise_credito]]="Negado"),0,IF(Tabela13[[#This Row],[status]]="Ativo",Tabela13[[#This Row],[valor_solicitado]]*8%,0))</f>
        <v>4200</v>
      </c>
      <c r="P30" s="4">
        <v>52500</v>
      </c>
    </row>
    <row r="31" spans="1:16">
      <c r="A31" t="s">
        <v>71</v>
      </c>
      <c r="B31" t="s">
        <v>153</v>
      </c>
      <c r="C31" s="2" t="s">
        <v>154</v>
      </c>
      <c r="D31" s="24">
        <v>48</v>
      </c>
      <c r="E31" s="3">
        <v>28430</v>
      </c>
      <c r="F31" t="s">
        <v>101</v>
      </c>
      <c r="G31" t="s">
        <v>102</v>
      </c>
      <c r="H31" s="4">
        <v>4500</v>
      </c>
      <c r="I31" s="4">
        <v>0</v>
      </c>
      <c r="J31" s="5" t="s">
        <v>45</v>
      </c>
      <c r="K31" s="6">
        <v>3</v>
      </c>
      <c r="L31" t="str" cm="1">
        <f t="array" ref="L31">_xlfn.IFS(K31&gt;=26,"Alto",K31&lt;11,"Baixo",K31&lt;26,"Médio")</f>
        <v>Baixo</v>
      </c>
      <c r="M31" t="str">
        <f>IF(AND(Tabela13[[#This Row],[flag_inadimplente]]="Sim",Tabela13[[#This Row],[nivel_risco]]="Alto"),"Negado","Aprovado")</f>
        <v>Aprovado</v>
      </c>
      <c r="N31" t="str">
        <f>IF(AND(Tabela13[[#This Row],[credito_tomado]]&gt;50000,Tabela13[[#This Row],[flag_inadimplente]]="Sim"),"Negado","Aprovado")</f>
        <v>Aprovado</v>
      </c>
      <c r="O31" s="4">
        <f>IF(AND(Tabela13[[#This Row],[analise_risco]]="Negado",Tabela13[[#This Row],[analise_credito]]="Negado"),0,IF(Tabela13[[#This Row],[status]]="Ativo",Tabela13[[#This Row],[valor_solicitado]]*8%,0))</f>
        <v>3880</v>
      </c>
      <c r="P31" s="4">
        <v>48500</v>
      </c>
    </row>
    <row r="32" spans="1:16">
      <c r="A32" t="s">
        <v>71</v>
      </c>
      <c r="B32" t="s">
        <v>155</v>
      </c>
      <c r="C32" s="2" t="s">
        <v>156</v>
      </c>
      <c r="D32" s="24">
        <v>18</v>
      </c>
      <c r="E32" s="3">
        <v>39369</v>
      </c>
      <c r="F32" t="s">
        <v>74</v>
      </c>
      <c r="G32" t="s">
        <v>75</v>
      </c>
      <c r="H32" s="4">
        <v>18500</v>
      </c>
      <c r="I32" s="4">
        <v>74500</v>
      </c>
      <c r="J32" s="5" t="s">
        <v>46</v>
      </c>
      <c r="K32" s="6">
        <v>20</v>
      </c>
      <c r="L32" t="str" cm="1">
        <f t="array" ref="L32">_xlfn.IFS(K32&gt;=26,"Alto",K32&lt;11,"Baixo",K32&lt;26,"Médio")</f>
        <v>Médio</v>
      </c>
      <c r="M32" t="str">
        <f>IF(AND(Tabela13[[#This Row],[flag_inadimplente]]="Sim",Tabela13[[#This Row],[nivel_risco]]="Alto"),"Negado","Aprovado")</f>
        <v>Aprovado</v>
      </c>
      <c r="N32" t="str">
        <f>IF(AND(Tabela13[[#This Row],[credito_tomado]]&gt;50000,Tabela13[[#This Row],[flag_inadimplente]]="Sim"),"Negado","Aprovado")</f>
        <v>Negado</v>
      </c>
      <c r="O32" s="4">
        <f>IF(AND(Tabela13[[#This Row],[analise_risco]]="Negado",Tabela13[[#This Row],[analise_credito]]="Negado"),0,IF(Tabela13[[#This Row],[status]]="Ativo",Tabela13[[#This Row],[valor_solicitado]]*8%,0))</f>
        <v>3640</v>
      </c>
      <c r="P32" s="4">
        <v>45500</v>
      </c>
    </row>
    <row r="33" spans="1:16">
      <c r="A33" t="s">
        <v>71</v>
      </c>
      <c r="B33" t="s">
        <v>157</v>
      </c>
      <c r="C33" s="2" t="s">
        <v>158</v>
      </c>
      <c r="D33" s="24">
        <v>62</v>
      </c>
      <c r="E33" s="3">
        <v>23488</v>
      </c>
      <c r="F33" t="s">
        <v>107</v>
      </c>
      <c r="G33" t="s">
        <v>108</v>
      </c>
      <c r="H33" s="4">
        <v>0</v>
      </c>
      <c r="I33" s="4" t="s">
        <v>80</v>
      </c>
      <c r="J33" s="5" t="s">
        <v>45</v>
      </c>
      <c r="K33" s="6">
        <v>38</v>
      </c>
      <c r="L33" t="str" cm="1">
        <f t="array" ref="L33">_xlfn.IFS(K33&gt;=26,"Alto",K33&lt;11,"Baixo",K33&lt;26,"Médio")</f>
        <v>Alto</v>
      </c>
      <c r="M33" t="str">
        <f>IF(AND(Tabela13[[#This Row],[flag_inadimplente]]="Sim",Tabela13[[#This Row],[nivel_risco]]="Alto"),"Negado","Aprovado")</f>
        <v>Aprovado</v>
      </c>
      <c r="N33" t="str">
        <f>IF(AND(Tabela13[[#This Row],[credito_tomado]]&gt;50000,Tabela13[[#This Row],[flag_inadimplente]]="Sim"),"Negado","Aprovado")</f>
        <v>Aprovado</v>
      </c>
      <c r="O33" s="4">
        <f>IF(AND(Tabela13[[#This Row],[analise_risco]]="Negado",Tabela13[[#This Row],[analise_credito]]="Negado"),0,IF(Tabela13[[#This Row],[status]]="Ativo",Tabela13[[#This Row],[valor_solicitado]]*8%,0))</f>
        <v>5760</v>
      </c>
      <c r="P33" s="4">
        <v>72000</v>
      </c>
    </row>
    <row r="34" spans="1:16">
      <c r="A34" t="s">
        <v>71</v>
      </c>
      <c r="B34" t="s">
        <v>159</v>
      </c>
      <c r="C34" s="2" t="s">
        <v>160</v>
      </c>
      <c r="D34" s="24">
        <v>39</v>
      </c>
      <c r="E34" s="3">
        <v>31968</v>
      </c>
      <c r="F34" t="s">
        <v>126</v>
      </c>
      <c r="G34" t="s">
        <v>98</v>
      </c>
      <c r="H34" s="4">
        <v>8000</v>
      </c>
      <c r="I34" s="4">
        <v>69000</v>
      </c>
      <c r="J34" s="5" t="s">
        <v>45</v>
      </c>
      <c r="K34" s="6">
        <v>15</v>
      </c>
      <c r="L34" t="str" cm="1">
        <f t="array" ref="L34">_xlfn.IFS(K34&gt;=26,"Alto",K34&lt;11,"Baixo",K34&lt;26,"Médio")</f>
        <v>Médio</v>
      </c>
      <c r="M34" t="str">
        <f>IF(AND(Tabela13[[#This Row],[flag_inadimplente]]="Sim",Tabela13[[#This Row],[nivel_risco]]="Alto"),"Negado","Aprovado")</f>
        <v>Aprovado</v>
      </c>
      <c r="N34" t="str">
        <f>IF(AND(Tabela13[[#This Row],[credito_tomado]]&gt;50000,Tabela13[[#This Row],[flag_inadimplente]]="Sim"),"Negado","Aprovado")</f>
        <v>Aprovado</v>
      </c>
      <c r="O34" s="4">
        <f>IF(AND(Tabela13[[#This Row],[analise_risco]]="Negado",Tabela13[[#This Row],[analise_credito]]="Negado"),0,IF(Tabela13[[#This Row],[status]]="Ativo",Tabela13[[#This Row],[valor_solicitado]]*8%,0))</f>
        <v>3160</v>
      </c>
      <c r="P34" s="4">
        <v>39500</v>
      </c>
    </row>
    <row r="35" spans="1:16">
      <c r="A35" t="s">
        <v>85</v>
      </c>
      <c r="B35" t="s">
        <v>161</v>
      </c>
      <c r="C35" s="2" t="s">
        <v>162</v>
      </c>
      <c r="D35" s="24">
        <v>21</v>
      </c>
      <c r="E35" s="3">
        <v>38328</v>
      </c>
      <c r="F35" t="s">
        <v>101</v>
      </c>
      <c r="G35" t="s">
        <v>102</v>
      </c>
      <c r="H35" s="4">
        <v>4400</v>
      </c>
      <c r="I35" s="4">
        <v>23500</v>
      </c>
      <c r="J35" s="5" t="s">
        <v>46</v>
      </c>
      <c r="K35" s="6">
        <v>31</v>
      </c>
      <c r="L35" t="str" cm="1">
        <f t="array" ref="L35">_xlfn.IFS(K35&gt;=26,"Alto",K35&lt;11,"Baixo",K35&lt;26,"Médio")</f>
        <v>Alto</v>
      </c>
      <c r="M35" t="str">
        <f>IF(AND(Tabela13[[#This Row],[flag_inadimplente]]="Sim",Tabela13[[#This Row],[nivel_risco]]="Alto"),"Negado","Aprovado")</f>
        <v>Negado</v>
      </c>
      <c r="N35" t="str">
        <f>IF(AND(Tabela13[[#This Row],[credito_tomado]]&gt;50000,Tabela13[[#This Row],[flag_inadimplente]]="Sim"),"Negado","Aprovado")</f>
        <v>Aprovado</v>
      </c>
      <c r="O35" s="4">
        <f>IF(AND(Tabela13[[#This Row],[analise_risco]]="Negado",Tabela13[[#This Row],[analise_credito]]="Negado"),0,IF(Tabela13[[#This Row],[status]]="Ativo",Tabela13[[#This Row],[valor_solicitado]]*8%,0))</f>
        <v>0</v>
      </c>
      <c r="P35" s="4">
        <v>91000</v>
      </c>
    </row>
    <row r="36" spans="1:16">
      <c r="A36" t="s">
        <v>71</v>
      </c>
      <c r="B36" t="s">
        <v>163</v>
      </c>
      <c r="C36" s="2" t="s">
        <v>164</v>
      </c>
      <c r="D36" s="24">
        <v>53</v>
      </c>
      <c r="E36" s="3">
        <v>26790</v>
      </c>
      <c r="F36" t="s">
        <v>115</v>
      </c>
      <c r="G36" t="s">
        <v>75</v>
      </c>
      <c r="H36" s="4">
        <v>0</v>
      </c>
      <c r="I36" s="4">
        <v>21500</v>
      </c>
      <c r="J36" s="5" t="s">
        <v>46</v>
      </c>
      <c r="K36" s="6">
        <v>44</v>
      </c>
      <c r="L36" t="str" cm="1">
        <f t="array" ref="L36">_xlfn.IFS(K36&gt;=26,"Alto",K36&lt;11,"Baixo",K36&lt;26,"Médio")</f>
        <v>Alto</v>
      </c>
      <c r="M36" t="str">
        <f>IF(AND(Tabela13[[#This Row],[flag_inadimplente]]="Sim",Tabela13[[#This Row],[nivel_risco]]="Alto"),"Negado","Aprovado")</f>
        <v>Negado</v>
      </c>
      <c r="N36" t="str">
        <f>IF(AND(Tabela13[[#This Row],[credito_tomado]]&gt;50000,Tabela13[[#This Row],[flag_inadimplente]]="Sim"),"Negado","Aprovado")</f>
        <v>Aprovado</v>
      </c>
      <c r="O36" s="4">
        <f>IF(AND(Tabela13[[#This Row],[analise_risco]]="Negado",Tabela13[[#This Row],[analise_credito]]="Negado"),0,IF(Tabela13[[#This Row],[status]]="Ativo",Tabela13[[#This Row],[valor_solicitado]]*8%,0))</f>
        <v>280</v>
      </c>
      <c r="P36" s="4">
        <v>3500</v>
      </c>
    </row>
    <row r="37" spans="1:16">
      <c r="A37" t="s">
        <v>71</v>
      </c>
      <c r="B37" t="s">
        <v>165</v>
      </c>
      <c r="C37" s="2" t="s">
        <v>166</v>
      </c>
      <c r="D37" s="24">
        <v>29</v>
      </c>
      <c r="E37" s="3">
        <v>35334</v>
      </c>
      <c r="F37" t="s">
        <v>101</v>
      </c>
      <c r="G37" t="s">
        <v>102</v>
      </c>
      <c r="H37" s="4">
        <v>19500</v>
      </c>
      <c r="I37" s="4">
        <v>57000</v>
      </c>
      <c r="J37" s="5" t="s">
        <v>45</v>
      </c>
      <c r="K37" s="6">
        <v>12</v>
      </c>
      <c r="L37" t="str" cm="1">
        <f t="array" ref="L37">_xlfn.IFS(K37&gt;=26,"Alto",K37&lt;11,"Baixo",K37&lt;26,"Médio")</f>
        <v>Médio</v>
      </c>
      <c r="M37" t="str">
        <f>IF(AND(Tabela13[[#This Row],[flag_inadimplente]]="Sim",Tabela13[[#This Row],[nivel_risco]]="Alto"),"Negado","Aprovado")</f>
        <v>Aprovado</v>
      </c>
      <c r="N37" t="str">
        <f>IF(AND(Tabela13[[#This Row],[credito_tomado]]&gt;50000,Tabela13[[#This Row],[flag_inadimplente]]="Sim"),"Negado","Aprovado")</f>
        <v>Aprovado</v>
      </c>
      <c r="O37" s="4">
        <f>IF(AND(Tabela13[[#This Row],[analise_risco]]="Negado",Tabela13[[#This Row],[analise_credito]]="Negado"),0,IF(Tabela13[[#This Row],[status]]="Ativo",Tabela13[[#This Row],[valor_solicitado]]*8%,0))</f>
        <v>1640</v>
      </c>
      <c r="P37" s="4">
        <v>20500</v>
      </c>
    </row>
    <row r="38" spans="1:16">
      <c r="A38" t="s">
        <v>71</v>
      </c>
      <c r="B38" t="s">
        <v>167</v>
      </c>
      <c r="C38" s="2" t="s">
        <v>168</v>
      </c>
      <c r="D38" s="24">
        <v>42</v>
      </c>
      <c r="E38" s="3">
        <v>30878</v>
      </c>
      <c r="F38" t="s">
        <v>101</v>
      </c>
      <c r="G38" t="s">
        <v>102</v>
      </c>
      <c r="H38" s="4">
        <v>17500</v>
      </c>
      <c r="I38" s="4">
        <v>3500</v>
      </c>
      <c r="J38" s="5" t="s">
        <v>45</v>
      </c>
      <c r="K38" s="6">
        <v>25</v>
      </c>
      <c r="L38" t="str" cm="1">
        <f t="array" ref="L38">_xlfn.IFS(K38&gt;=26,"Alto",K38&lt;11,"Baixo",K38&lt;26,"Médio")</f>
        <v>Médio</v>
      </c>
      <c r="M38" t="str">
        <f>IF(AND(Tabela13[[#This Row],[flag_inadimplente]]="Sim",Tabela13[[#This Row],[nivel_risco]]="Alto"),"Negado","Aprovado")</f>
        <v>Aprovado</v>
      </c>
      <c r="N38" t="str">
        <f>IF(AND(Tabela13[[#This Row],[credito_tomado]]&gt;50000,Tabela13[[#This Row],[flag_inadimplente]]="Sim"),"Negado","Aprovado")</f>
        <v>Aprovado</v>
      </c>
      <c r="O38" s="4">
        <f>IF(AND(Tabela13[[#This Row],[analise_risco]]="Negado",Tabela13[[#This Row],[analise_credito]]="Negado"),0,IF(Tabela13[[#This Row],[status]]="Ativo",Tabela13[[#This Row],[valor_solicitado]]*8%,0))</f>
        <v>2800</v>
      </c>
      <c r="P38" s="4">
        <v>35000</v>
      </c>
    </row>
    <row r="39" spans="1:16">
      <c r="A39" t="s">
        <v>71</v>
      </c>
      <c r="B39" t="s">
        <v>169</v>
      </c>
      <c r="C39" s="2" t="s">
        <v>170</v>
      </c>
      <c r="D39" s="24">
        <v>62</v>
      </c>
      <c r="E39" s="3">
        <v>23337</v>
      </c>
      <c r="F39" t="s">
        <v>122</v>
      </c>
      <c r="G39" t="s">
        <v>123</v>
      </c>
      <c r="H39" s="4">
        <v>11900</v>
      </c>
      <c r="I39" s="4">
        <v>58500</v>
      </c>
      <c r="J39" s="5" t="s">
        <v>45</v>
      </c>
      <c r="K39" s="6">
        <v>37</v>
      </c>
      <c r="L39" t="str" cm="1">
        <f t="array" ref="L39">_xlfn.IFS(K39&gt;=26,"Alto",K39&lt;11,"Baixo",K39&lt;26,"Médio")</f>
        <v>Alto</v>
      </c>
      <c r="M39" t="str">
        <f>IF(AND(Tabela13[[#This Row],[flag_inadimplente]]="Sim",Tabela13[[#This Row],[nivel_risco]]="Alto"),"Negado","Aprovado")</f>
        <v>Aprovado</v>
      </c>
      <c r="N39" t="str">
        <f>IF(AND(Tabela13[[#This Row],[credito_tomado]]&gt;50000,Tabela13[[#This Row],[flag_inadimplente]]="Sim"),"Negado","Aprovado")</f>
        <v>Aprovado</v>
      </c>
      <c r="O39" s="4">
        <f>IF(AND(Tabela13[[#This Row],[analise_risco]]="Negado",Tabela13[[#This Row],[analise_credito]]="Negado"),0,IF(Tabela13[[#This Row],[status]]="Ativo",Tabela13[[#This Row],[valor_solicitado]]*8%,0))</f>
        <v>3840</v>
      </c>
      <c r="P39" s="4">
        <v>48000</v>
      </c>
    </row>
    <row r="40" spans="1:16">
      <c r="A40" t="s">
        <v>71</v>
      </c>
      <c r="B40" t="s">
        <v>171</v>
      </c>
      <c r="C40" s="2" t="s">
        <v>172</v>
      </c>
      <c r="D40" s="24">
        <v>39</v>
      </c>
      <c r="E40" s="3">
        <v>31814</v>
      </c>
      <c r="F40" t="s">
        <v>126</v>
      </c>
      <c r="G40" t="s">
        <v>98</v>
      </c>
      <c r="H40" s="4">
        <v>9300</v>
      </c>
      <c r="I40" s="4">
        <v>36500</v>
      </c>
      <c r="J40" s="5" t="s">
        <v>45</v>
      </c>
      <c r="K40" s="6" t="s">
        <v>80</v>
      </c>
      <c r="L40" t="str" cm="1">
        <f t="array" ref="L40">_xlfn.IFS(K40&gt;=26,"Alto",K40&lt;11,"Baixo",K40&lt;26,"Médio")</f>
        <v>Alto</v>
      </c>
      <c r="M40" t="str">
        <f>IF(AND(Tabela13[[#This Row],[flag_inadimplente]]="Sim",Tabela13[[#This Row],[nivel_risco]]="Alto"),"Negado","Aprovado")</f>
        <v>Aprovado</v>
      </c>
      <c r="N40" t="str">
        <f>IF(AND(Tabela13[[#This Row],[credito_tomado]]&gt;50000,Tabela13[[#This Row],[flag_inadimplente]]="Sim"),"Negado","Aprovado")</f>
        <v>Aprovado</v>
      </c>
      <c r="O40" s="4">
        <f>IF(AND(Tabela13[[#This Row],[analise_risco]]="Negado",Tabela13[[#This Row],[analise_credito]]="Negado"),0,IF(Tabela13[[#This Row],[status]]="Ativo",Tabela13[[#This Row],[valor_solicitado]]*8%,0))</f>
        <v>240</v>
      </c>
      <c r="P40" s="4">
        <v>3000</v>
      </c>
    </row>
    <row r="41" spans="1:16">
      <c r="A41" t="s">
        <v>71</v>
      </c>
      <c r="B41" t="s">
        <v>173</v>
      </c>
      <c r="C41" s="2" t="s">
        <v>174</v>
      </c>
      <c r="D41" s="24">
        <v>67</v>
      </c>
      <c r="E41" s="3">
        <v>21522</v>
      </c>
      <c r="F41" t="s">
        <v>93</v>
      </c>
      <c r="G41" t="s">
        <v>94</v>
      </c>
      <c r="H41" s="4">
        <v>11300</v>
      </c>
      <c r="I41" s="4">
        <v>49500</v>
      </c>
      <c r="J41" s="5" t="s">
        <v>45</v>
      </c>
      <c r="K41" s="6">
        <v>12</v>
      </c>
      <c r="L41" t="str" cm="1">
        <f t="array" ref="L41">_xlfn.IFS(K41&gt;=26,"Alto",K41&lt;11,"Baixo",K41&lt;26,"Médio")</f>
        <v>Médio</v>
      </c>
      <c r="M41" t="str">
        <f>IF(AND(Tabela13[[#This Row],[flag_inadimplente]]="Sim",Tabela13[[#This Row],[nivel_risco]]="Alto"),"Negado","Aprovado")</f>
        <v>Aprovado</v>
      </c>
      <c r="N41" t="str">
        <f>IF(AND(Tabela13[[#This Row],[credito_tomado]]&gt;50000,Tabela13[[#This Row],[flag_inadimplente]]="Sim"),"Negado","Aprovado")</f>
        <v>Aprovado</v>
      </c>
      <c r="O41" s="4">
        <f>IF(AND(Tabela13[[#This Row],[analise_risco]]="Negado",Tabela13[[#This Row],[analise_credito]]="Negado"),0,IF(Tabela13[[#This Row],[status]]="Ativo",Tabela13[[#This Row],[valor_solicitado]]*8%,0))</f>
        <v>2760</v>
      </c>
      <c r="P41" s="4">
        <v>34500</v>
      </c>
    </row>
    <row r="42" spans="1:16">
      <c r="A42" t="s">
        <v>71</v>
      </c>
      <c r="B42" t="s">
        <v>175</v>
      </c>
      <c r="C42" s="2" t="s">
        <v>176</v>
      </c>
      <c r="D42" s="24">
        <v>23</v>
      </c>
      <c r="E42" s="3">
        <v>37530</v>
      </c>
      <c r="F42" t="s">
        <v>101</v>
      </c>
      <c r="G42" t="s">
        <v>102</v>
      </c>
      <c r="H42" s="4">
        <v>10700</v>
      </c>
      <c r="I42" s="4">
        <v>15000</v>
      </c>
      <c r="J42" s="5" t="s">
        <v>45</v>
      </c>
      <c r="K42" s="6">
        <v>42</v>
      </c>
      <c r="L42" t="str" cm="1">
        <f t="array" ref="L42">_xlfn.IFS(K42&gt;=26,"Alto",K42&lt;11,"Baixo",K42&lt;26,"Médio")</f>
        <v>Alto</v>
      </c>
      <c r="M42" t="str">
        <f>IF(AND(Tabela13[[#This Row],[flag_inadimplente]]="Sim",Tabela13[[#This Row],[nivel_risco]]="Alto"),"Negado","Aprovado")</f>
        <v>Aprovado</v>
      </c>
      <c r="N42" t="str">
        <f>IF(AND(Tabela13[[#This Row],[credito_tomado]]&gt;50000,Tabela13[[#This Row],[flag_inadimplente]]="Sim"),"Negado","Aprovado")</f>
        <v>Aprovado</v>
      </c>
      <c r="O42" s="4">
        <f>IF(AND(Tabela13[[#This Row],[analise_risco]]="Negado",Tabela13[[#This Row],[analise_credito]]="Negado"),0,IF(Tabela13[[#This Row],[status]]="Ativo",Tabela13[[#This Row],[valor_solicitado]]*8%,0))</f>
        <v>6520</v>
      </c>
      <c r="P42" s="4">
        <v>81500</v>
      </c>
    </row>
    <row r="43" spans="1:16">
      <c r="A43" t="s">
        <v>71</v>
      </c>
      <c r="B43" t="s">
        <v>177</v>
      </c>
      <c r="C43" s="2" t="s">
        <v>178</v>
      </c>
      <c r="D43" s="24">
        <v>53</v>
      </c>
      <c r="E43" s="3">
        <v>26840</v>
      </c>
      <c r="F43" t="s">
        <v>126</v>
      </c>
      <c r="G43" t="s">
        <v>98</v>
      </c>
      <c r="H43" s="4">
        <v>9500</v>
      </c>
      <c r="I43" s="4">
        <v>66500</v>
      </c>
      <c r="J43" s="5" t="s">
        <v>46</v>
      </c>
      <c r="K43" s="6">
        <v>38</v>
      </c>
      <c r="L43" t="str" cm="1">
        <f t="array" ref="L43">_xlfn.IFS(K43&gt;=26,"Alto",K43&lt;11,"Baixo",K43&lt;26,"Médio")</f>
        <v>Alto</v>
      </c>
      <c r="M43" t="str">
        <f>IF(AND(Tabela13[[#This Row],[flag_inadimplente]]="Sim",Tabela13[[#This Row],[nivel_risco]]="Alto"),"Negado","Aprovado")</f>
        <v>Negado</v>
      </c>
      <c r="N43" t="str">
        <f>IF(AND(Tabela13[[#This Row],[credito_tomado]]&gt;50000,Tabela13[[#This Row],[flag_inadimplente]]="Sim"),"Negado","Aprovado")</f>
        <v>Negado</v>
      </c>
      <c r="O43" s="4">
        <f>IF(AND(Tabela13[[#This Row],[analise_risco]]="Negado",Tabela13[[#This Row],[analise_credito]]="Negado"),0,IF(Tabela13[[#This Row],[status]]="Ativo",Tabela13[[#This Row],[valor_solicitado]]*8%,0))</f>
        <v>0</v>
      </c>
      <c r="P43" s="4">
        <v>42500</v>
      </c>
    </row>
    <row r="44" spans="1:16">
      <c r="A44" t="s">
        <v>71</v>
      </c>
      <c r="B44" t="s">
        <v>179</v>
      </c>
      <c r="C44" s="2" t="s">
        <v>180</v>
      </c>
      <c r="D44" s="24">
        <v>29</v>
      </c>
      <c r="E44" s="3">
        <v>35472</v>
      </c>
      <c r="F44" t="s">
        <v>147</v>
      </c>
      <c r="G44" t="s">
        <v>98</v>
      </c>
      <c r="H44" s="4">
        <v>11900</v>
      </c>
      <c r="I44" s="4">
        <v>65000</v>
      </c>
      <c r="J44" s="5" t="s">
        <v>46</v>
      </c>
      <c r="K44" s="6">
        <v>4</v>
      </c>
      <c r="L44" t="str" cm="1">
        <f t="array" ref="L44">_xlfn.IFS(K44&gt;=26,"Alto",K44&lt;11,"Baixo",K44&lt;26,"Médio")</f>
        <v>Baixo</v>
      </c>
      <c r="M44" t="str">
        <f>IF(AND(Tabela13[[#This Row],[flag_inadimplente]]="Sim",Tabela13[[#This Row],[nivel_risco]]="Alto"),"Negado","Aprovado")</f>
        <v>Aprovado</v>
      </c>
      <c r="N44" t="str">
        <f>IF(AND(Tabela13[[#This Row],[credito_tomado]]&gt;50000,Tabela13[[#This Row],[flag_inadimplente]]="Sim"),"Negado","Aprovado")</f>
        <v>Negado</v>
      </c>
      <c r="O44" s="4">
        <f>IF(AND(Tabela13[[#This Row],[analise_risco]]="Negado",Tabela13[[#This Row],[analise_credito]]="Negado"),0,IF(Tabela13[[#This Row],[status]]="Ativo",Tabela13[[#This Row],[valor_solicitado]]*8%,0))</f>
        <v>960</v>
      </c>
      <c r="P44" s="4">
        <v>12000</v>
      </c>
    </row>
    <row r="45" spans="1:16">
      <c r="A45" t="s">
        <v>71</v>
      </c>
      <c r="B45" t="s">
        <v>179</v>
      </c>
      <c r="C45" s="2" t="s">
        <v>181</v>
      </c>
      <c r="D45" s="24">
        <v>28</v>
      </c>
      <c r="E45" s="3">
        <v>35830</v>
      </c>
      <c r="F45" t="s">
        <v>139</v>
      </c>
      <c r="G45" t="s">
        <v>140</v>
      </c>
      <c r="H45" s="4">
        <v>8600</v>
      </c>
      <c r="I45" s="4">
        <v>19000</v>
      </c>
      <c r="J45" s="5" t="s">
        <v>46</v>
      </c>
      <c r="K45" s="6">
        <v>29</v>
      </c>
      <c r="L45" t="str" cm="1">
        <f t="array" ref="L45">_xlfn.IFS(K45&gt;=26,"Alto",K45&lt;11,"Baixo",K45&lt;26,"Médio")</f>
        <v>Alto</v>
      </c>
      <c r="M45" t="str">
        <f>IF(AND(Tabela13[[#This Row],[flag_inadimplente]]="Sim",Tabela13[[#This Row],[nivel_risco]]="Alto"),"Negado","Aprovado")</f>
        <v>Negado</v>
      </c>
      <c r="N45" t="str">
        <f>IF(AND(Tabela13[[#This Row],[credito_tomado]]&gt;50000,Tabela13[[#This Row],[flag_inadimplente]]="Sim"),"Negado","Aprovado")</f>
        <v>Aprovado</v>
      </c>
      <c r="O45" s="4">
        <f>IF(AND(Tabela13[[#This Row],[analise_risco]]="Negado",Tabela13[[#This Row],[analise_credito]]="Negado"),0,IF(Tabela13[[#This Row],[status]]="Ativo",Tabela13[[#This Row],[valor_solicitado]]*8%,0))</f>
        <v>2600</v>
      </c>
      <c r="P45" s="4">
        <v>32500</v>
      </c>
    </row>
    <row r="46" spans="1:16">
      <c r="A46" t="s">
        <v>85</v>
      </c>
      <c r="B46" t="s">
        <v>182</v>
      </c>
      <c r="C46" s="2" t="s">
        <v>183</v>
      </c>
      <c r="D46" s="24">
        <v>68</v>
      </c>
      <c r="E46" s="3">
        <v>21293</v>
      </c>
      <c r="F46" t="s">
        <v>101</v>
      </c>
      <c r="G46" t="s">
        <v>102</v>
      </c>
      <c r="H46" s="4">
        <v>3800</v>
      </c>
      <c r="I46" s="4">
        <v>70000</v>
      </c>
      <c r="J46" s="5" t="s">
        <v>46</v>
      </c>
      <c r="K46" s="6">
        <v>34</v>
      </c>
      <c r="L46" t="str" cm="1">
        <f t="array" ref="L46">_xlfn.IFS(K46&gt;=26,"Alto",K46&lt;11,"Baixo",K46&lt;26,"Médio")</f>
        <v>Alto</v>
      </c>
      <c r="M46" t="str">
        <f>IF(AND(Tabela13[[#This Row],[flag_inadimplente]]="Sim",Tabela13[[#This Row],[nivel_risco]]="Alto"),"Negado","Aprovado")</f>
        <v>Negado</v>
      </c>
      <c r="N46" t="str">
        <f>IF(AND(Tabela13[[#This Row],[credito_tomado]]&gt;50000,Tabela13[[#This Row],[flag_inadimplente]]="Sim"),"Negado","Aprovado")</f>
        <v>Negado</v>
      </c>
      <c r="O46" s="4">
        <f>IF(AND(Tabela13[[#This Row],[analise_risco]]="Negado",Tabela13[[#This Row],[analise_credito]]="Negado"),0,IF(Tabela13[[#This Row],[status]]="Ativo",Tabela13[[#This Row],[valor_solicitado]]*8%,0))</f>
        <v>0</v>
      </c>
      <c r="P46" s="4">
        <v>7500</v>
      </c>
    </row>
    <row r="47" spans="1:16">
      <c r="A47" t="s">
        <v>71</v>
      </c>
      <c r="B47" t="s">
        <v>184</v>
      </c>
      <c r="C47" s="2" t="s">
        <v>185</v>
      </c>
      <c r="D47" s="24">
        <v>39</v>
      </c>
      <c r="E47" s="3">
        <v>31766</v>
      </c>
      <c r="F47" t="s">
        <v>149</v>
      </c>
      <c r="G47" t="s">
        <v>79</v>
      </c>
      <c r="H47" s="4">
        <v>24700</v>
      </c>
      <c r="I47" s="4">
        <v>23500</v>
      </c>
      <c r="J47" s="5" t="s">
        <v>45</v>
      </c>
      <c r="K47" s="6">
        <v>43</v>
      </c>
      <c r="L47" t="str" cm="1">
        <f t="array" ref="L47">_xlfn.IFS(K47&gt;=26,"Alto",K47&lt;11,"Baixo",K47&lt;26,"Médio")</f>
        <v>Alto</v>
      </c>
      <c r="M47" t="str">
        <f>IF(AND(Tabela13[[#This Row],[flag_inadimplente]]="Sim",Tabela13[[#This Row],[nivel_risco]]="Alto"),"Negado","Aprovado")</f>
        <v>Aprovado</v>
      </c>
      <c r="N47" t="str">
        <f>IF(AND(Tabela13[[#This Row],[credito_tomado]]&gt;50000,Tabela13[[#This Row],[flag_inadimplente]]="Sim"),"Negado","Aprovado")</f>
        <v>Aprovado</v>
      </c>
      <c r="O47" s="4">
        <f>IF(AND(Tabela13[[#This Row],[analise_risco]]="Negado",Tabela13[[#This Row],[analise_credito]]="Negado"),0,IF(Tabela13[[#This Row],[status]]="Ativo",Tabela13[[#This Row],[valor_solicitado]]*8%,0))</f>
        <v>4560</v>
      </c>
      <c r="P47" s="4">
        <v>57000</v>
      </c>
    </row>
    <row r="48" spans="1:16">
      <c r="A48" t="s">
        <v>71</v>
      </c>
      <c r="B48" t="s">
        <v>186</v>
      </c>
      <c r="C48" s="2" t="s">
        <v>187</v>
      </c>
      <c r="D48" s="24">
        <v>59</v>
      </c>
      <c r="E48" s="3">
        <v>24578</v>
      </c>
      <c r="F48" t="s">
        <v>188</v>
      </c>
      <c r="G48" t="s">
        <v>80</v>
      </c>
      <c r="H48" s="4">
        <v>6600</v>
      </c>
      <c r="I48" s="4">
        <v>50000</v>
      </c>
      <c r="J48" s="5" t="s">
        <v>46</v>
      </c>
      <c r="K48" s="6">
        <v>9</v>
      </c>
      <c r="L48" t="str" cm="1">
        <f t="array" ref="L48">_xlfn.IFS(K48&gt;=26,"Alto",K48&lt;11,"Baixo",K48&lt;26,"Médio")</f>
        <v>Baixo</v>
      </c>
      <c r="M48" t="str">
        <f>IF(AND(Tabela13[[#This Row],[flag_inadimplente]]="Sim",Tabela13[[#This Row],[nivel_risco]]="Alto"),"Negado","Aprovado")</f>
        <v>Aprovado</v>
      </c>
      <c r="N48" t="str">
        <f>IF(AND(Tabela13[[#This Row],[credito_tomado]]&gt;50000,Tabela13[[#This Row],[flag_inadimplente]]="Sim"),"Negado","Aprovado")</f>
        <v>Aprovado</v>
      </c>
      <c r="O48" s="4">
        <f>IF(AND(Tabela13[[#This Row],[analise_risco]]="Negado",Tabela13[[#This Row],[analise_credito]]="Negado"),0,IF(Tabela13[[#This Row],[status]]="Ativo",Tabela13[[#This Row],[valor_solicitado]]*8%,0))</f>
        <v>2000</v>
      </c>
      <c r="P48" s="4">
        <v>25000</v>
      </c>
    </row>
    <row r="49" spans="1:16">
      <c r="A49" t="s">
        <v>71</v>
      </c>
      <c r="B49" t="s">
        <v>189</v>
      </c>
      <c r="C49" s="2" t="s">
        <v>190</v>
      </c>
      <c r="D49" s="24">
        <v>44</v>
      </c>
      <c r="E49" s="3">
        <v>29975</v>
      </c>
      <c r="F49" t="s">
        <v>139</v>
      </c>
      <c r="G49" t="s">
        <v>140</v>
      </c>
      <c r="H49" s="4">
        <v>5300</v>
      </c>
      <c r="I49" s="4">
        <v>6000</v>
      </c>
      <c r="J49" s="5" t="s">
        <v>46</v>
      </c>
      <c r="K49" s="6">
        <v>1</v>
      </c>
      <c r="L49" t="str" cm="1">
        <f t="array" ref="L49">_xlfn.IFS(K49&gt;=26,"Alto",K49&lt;11,"Baixo",K49&lt;26,"Médio")</f>
        <v>Baixo</v>
      </c>
      <c r="M49" t="str">
        <f>IF(AND(Tabela13[[#This Row],[flag_inadimplente]]="Sim",Tabela13[[#This Row],[nivel_risco]]="Alto"),"Negado","Aprovado")</f>
        <v>Aprovado</v>
      </c>
      <c r="N49" t="str">
        <f>IF(AND(Tabela13[[#This Row],[credito_tomado]]&gt;50000,Tabela13[[#This Row],[flag_inadimplente]]="Sim"),"Negado","Aprovado")</f>
        <v>Aprovado</v>
      </c>
      <c r="O49" s="4">
        <f>IF(AND(Tabela13[[#This Row],[analise_risco]]="Negado",Tabela13[[#This Row],[analise_credito]]="Negado"),0,IF(Tabela13[[#This Row],[status]]="Ativo",Tabela13[[#This Row],[valor_solicitado]]*8%,0))</f>
        <v>360</v>
      </c>
      <c r="P49" s="4">
        <v>4500</v>
      </c>
    </row>
    <row r="50" spans="1:16">
      <c r="A50" t="s">
        <v>85</v>
      </c>
      <c r="B50" t="s">
        <v>191</v>
      </c>
      <c r="C50" s="2" t="s">
        <v>192</v>
      </c>
      <c r="D50" s="24">
        <v>48</v>
      </c>
      <c r="E50" s="3">
        <v>28446</v>
      </c>
      <c r="F50" t="s">
        <v>122</v>
      </c>
      <c r="G50" t="s">
        <v>123</v>
      </c>
      <c r="H50" s="4">
        <v>6900</v>
      </c>
      <c r="I50" s="4">
        <v>52500</v>
      </c>
      <c r="J50" s="5" t="s">
        <v>46</v>
      </c>
      <c r="K50" s="6">
        <v>0</v>
      </c>
      <c r="L50" t="str" cm="1">
        <f t="array" ref="L50">_xlfn.IFS(K50&gt;=26,"Alto",K50&lt;11,"Baixo",K50&lt;26,"Médio")</f>
        <v>Baixo</v>
      </c>
      <c r="M50" t="str">
        <f>IF(AND(Tabela13[[#This Row],[flag_inadimplente]]="Sim",Tabela13[[#This Row],[nivel_risco]]="Alto"),"Negado","Aprovado")</f>
        <v>Aprovado</v>
      </c>
      <c r="N50" t="str">
        <f>IF(AND(Tabela13[[#This Row],[credito_tomado]]&gt;50000,Tabela13[[#This Row],[flag_inadimplente]]="Sim"),"Negado","Aprovado")</f>
        <v>Negado</v>
      </c>
      <c r="O50" s="4">
        <f>IF(AND(Tabela13[[#This Row],[analise_risco]]="Negado",Tabela13[[#This Row],[analise_credito]]="Negado"),0,IF(Tabela13[[#This Row],[status]]="Ativo",Tabela13[[#This Row],[valor_solicitado]]*8%,0))</f>
        <v>0</v>
      </c>
      <c r="P50" s="4">
        <v>66000</v>
      </c>
    </row>
    <row r="51" spans="1:16">
      <c r="A51" t="s">
        <v>71</v>
      </c>
      <c r="B51" t="s">
        <v>193</v>
      </c>
      <c r="C51" s="2" t="s">
        <v>194</v>
      </c>
      <c r="D51" s="24">
        <v>43</v>
      </c>
      <c r="E51" s="3">
        <v>30309</v>
      </c>
      <c r="F51" t="s">
        <v>188</v>
      </c>
      <c r="G51" t="s">
        <v>195</v>
      </c>
      <c r="H51" s="4">
        <v>18400</v>
      </c>
      <c r="I51" s="4">
        <v>62000</v>
      </c>
      <c r="J51" s="5" t="s">
        <v>45</v>
      </c>
      <c r="K51" s="6">
        <v>33</v>
      </c>
      <c r="L51" t="str" cm="1">
        <f t="array" ref="L51">_xlfn.IFS(K51&gt;=26,"Alto",K51&lt;11,"Baixo",K51&lt;26,"Médio")</f>
        <v>Alto</v>
      </c>
      <c r="M51" t="str">
        <f>IF(AND(Tabela13[[#This Row],[flag_inadimplente]]="Sim",Tabela13[[#This Row],[nivel_risco]]="Alto"),"Negado","Aprovado")</f>
        <v>Aprovado</v>
      </c>
      <c r="N51" t="str">
        <f>IF(AND(Tabela13[[#This Row],[credito_tomado]]&gt;50000,Tabela13[[#This Row],[flag_inadimplente]]="Sim"),"Negado","Aprovado")</f>
        <v>Aprovado</v>
      </c>
      <c r="O51" s="4">
        <f>IF(AND(Tabela13[[#This Row],[analise_risco]]="Negado",Tabela13[[#This Row],[analise_credito]]="Negado"),0,IF(Tabela13[[#This Row],[status]]="Ativo",Tabela13[[#This Row],[valor_solicitado]]*8%,0))</f>
        <v>2480</v>
      </c>
      <c r="P51" s="4">
        <v>31000</v>
      </c>
    </row>
    <row r="52" spans="1:16">
      <c r="A52" t="s">
        <v>71</v>
      </c>
      <c r="B52" t="s">
        <v>196</v>
      </c>
      <c r="C52" s="2" t="s">
        <v>197</v>
      </c>
      <c r="D52" s="24">
        <v>26</v>
      </c>
      <c r="E52" s="3">
        <v>36619</v>
      </c>
      <c r="F52" t="s">
        <v>198</v>
      </c>
      <c r="G52" t="s">
        <v>84</v>
      </c>
      <c r="H52" s="4">
        <v>26800</v>
      </c>
      <c r="I52" s="4">
        <v>42500</v>
      </c>
      <c r="J52" s="5" t="s">
        <v>46</v>
      </c>
      <c r="K52" s="6">
        <v>29</v>
      </c>
      <c r="L52" t="str" cm="1">
        <f t="array" ref="L52">_xlfn.IFS(K52&gt;=26,"Alto",K52&lt;11,"Baixo",K52&lt;26,"Médio")</f>
        <v>Alto</v>
      </c>
      <c r="M52" t="str">
        <f>IF(AND(Tabela13[[#This Row],[flag_inadimplente]]="Sim",Tabela13[[#This Row],[nivel_risco]]="Alto"),"Negado","Aprovado")</f>
        <v>Negado</v>
      </c>
      <c r="N52" t="str">
        <f>IF(AND(Tabela13[[#This Row],[credito_tomado]]&gt;50000,Tabela13[[#This Row],[flag_inadimplente]]="Sim"),"Negado","Aprovado")</f>
        <v>Aprovado</v>
      </c>
      <c r="O52" s="4">
        <f>IF(AND(Tabela13[[#This Row],[analise_risco]]="Negado",Tabela13[[#This Row],[analise_credito]]="Negado"),0,IF(Tabela13[[#This Row],[status]]="Ativo",Tabela13[[#This Row],[valor_solicitado]]*8%,0))</f>
        <v>5280</v>
      </c>
      <c r="P52" s="4">
        <v>66000</v>
      </c>
    </row>
    <row r="53" spans="1:16">
      <c r="A53" t="s">
        <v>71</v>
      </c>
      <c r="B53" t="s">
        <v>199</v>
      </c>
      <c r="C53" s="2" t="s">
        <v>200</v>
      </c>
      <c r="D53" s="24">
        <v>68</v>
      </c>
      <c r="E53" s="3">
        <v>21079</v>
      </c>
      <c r="F53" t="s">
        <v>188</v>
      </c>
      <c r="G53" t="s">
        <v>195</v>
      </c>
      <c r="H53" s="4">
        <v>3600</v>
      </c>
      <c r="I53" s="4">
        <v>64500</v>
      </c>
      <c r="J53" s="5" t="s">
        <v>46</v>
      </c>
      <c r="K53" s="6">
        <v>32</v>
      </c>
      <c r="L53" t="str" cm="1">
        <f t="array" ref="L53">_xlfn.IFS(K53&gt;=26,"Alto",K53&lt;11,"Baixo",K53&lt;26,"Médio")</f>
        <v>Alto</v>
      </c>
      <c r="M53" t="str">
        <f>IF(AND(Tabela13[[#This Row],[flag_inadimplente]]="Sim",Tabela13[[#This Row],[nivel_risco]]="Alto"),"Negado","Aprovado")</f>
        <v>Negado</v>
      </c>
      <c r="N53" t="str">
        <f>IF(AND(Tabela13[[#This Row],[credito_tomado]]&gt;50000,Tabela13[[#This Row],[flag_inadimplente]]="Sim"),"Negado","Aprovado")</f>
        <v>Negado</v>
      </c>
      <c r="O53" s="4">
        <f>IF(AND(Tabela13[[#This Row],[analise_risco]]="Negado",Tabela13[[#This Row],[analise_credito]]="Negado"),0,IF(Tabela13[[#This Row],[status]]="Ativo",Tabela13[[#This Row],[valor_solicitado]]*8%,0))</f>
        <v>0</v>
      </c>
      <c r="P53" s="4">
        <v>35500</v>
      </c>
    </row>
    <row r="54" spans="1:16">
      <c r="A54" t="s">
        <v>71</v>
      </c>
      <c r="B54" t="s">
        <v>201</v>
      </c>
      <c r="C54" s="2" t="s">
        <v>202</v>
      </c>
      <c r="D54" s="24">
        <v>49</v>
      </c>
      <c r="E54" s="3">
        <v>28136</v>
      </c>
      <c r="F54" t="s">
        <v>78</v>
      </c>
      <c r="G54" t="s">
        <v>79</v>
      </c>
      <c r="H54" s="4">
        <v>20300</v>
      </c>
      <c r="I54" s="4">
        <v>12000</v>
      </c>
      <c r="J54" s="5" t="s">
        <v>46</v>
      </c>
      <c r="K54" s="6">
        <v>27</v>
      </c>
      <c r="L54" t="str" cm="1">
        <f t="array" ref="L54">_xlfn.IFS(K54&gt;=26,"Alto",K54&lt;11,"Baixo",K54&lt;26,"Médio")</f>
        <v>Alto</v>
      </c>
      <c r="M54" t="str">
        <f>IF(AND(Tabela13[[#This Row],[flag_inadimplente]]="Sim",Tabela13[[#This Row],[nivel_risco]]="Alto"),"Negado","Aprovado")</f>
        <v>Negado</v>
      </c>
      <c r="N54" t="str">
        <f>IF(AND(Tabela13[[#This Row],[credito_tomado]]&gt;50000,Tabela13[[#This Row],[flag_inadimplente]]="Sim"),"Negado","Aprovado")</f>
        <v>Aprovado</v>
      </c>
      <c r="O54" s="4">
        <f>IF(AND(Tabela13[[#This Row],[analise_risco]]="Negado",Tabela13[[#This Row],[analise_credito]]="Negado"),0,IF(Tabela13[[#This Row],[status]]="Ativo",Tabela13[[#This Row],[valor_solicitado]]*8%,0))</f>
        <v>5400</v>
      </c>
      <c r="P54" s="4">
        <v>67500</v>
      </c>
    </row>
    <row r="55" spans="1:16">
      <c r="A55" t="s">
        <v>71</v>
      </c>
      <c r="B55" t="s">
        <v>203</v>
      </c>
      <c r="C55" s="2" t="s">
        <v>204</v>
      </c>
      <c r="D55" s="24">
        <v>35</v>
      </c>
      <c r="E55" s="3" t="s">
        <v>80</v>
      </c>
      <c r="F55" t="s">
        <v>149</v>
      </c>
      <c r="G55" t="s">
        <v>79</v>
      </c>
      <c r="H55" s="4">
        <v>28000</v>
      </c>
      <c r="I55" s="4">
        <v>76500</v>
      </c>
      <c r="J55" s="5" t="s">
        <v>45</v>
      </c>
      <c r="K55" s="6">
        <v>39</v>
      </c>
      <c r="L55" t="str" cm="1">
        <f t="array" ref="L55">_xlfn.IFS(K55&gt;=26,"Alto",K55&lt;11,"Baixo",K55&lt;26,"Médio")</f>
        <v>Alto</v>
      </c>
      <c r="M55" t="str">
        <f>IF(AND(Tabela13[[#This Row],[flag_inadimplente]]="Sim",Tabela13[[#This Row],[nivel_risco]]="Alto"),"Negado","Aprovado")</f>
        <v>Aprovado</v>
      </c>
      <c r="N55" t="str">
        <f>IF(AND(Tabela13[[#This Row],[credito_tomado]]&gt;50000,Tabela13[[#This Row],[flag_inadimplente]]="Sim"),"Negado","Aprovado")</f>
        <v>Aprovado</v>
      </c>
      <c r="O55" s="4">
        <f>IF(AND(Tabela13[[#This Row],[analise_risco]]="Negado",Tabela13[[#This Row],[analise_credito]]="Negado"),0,IF(Tabela13[[#This Row],[status]]="Ativo",Tabela13[[#This Row],[valor_solicitado]]*8%,0))</f>
        <v>2560</v>
      </c>
      <c r="P55" s="4">
        <v>32000</v>
      </c>
    </row>
    <row r="56" spans="1:16">
      <c r="A56" t="s">
        <v>85</v>
      </c>
      <c r="B56" t="s">
        <v>205</v>
      </c>
      <c r="C56" s="2" t="s">
        <v>206</v>
      </c>
      <c r="D56" s="24">
        <v>69</v>
      </c>
      <c r="E56" s="3">
        <v>20785</v>
      </c>
      <c r="F56" t="s">
        <v>97</v>
      </c>
      <c r="G56" t="s">
        <v>98</v>
      </c>
      <c r="H56" s="4">
        <v>16000</v>
      </c>
      <c r="I56" s="4">
        <v>48000</v>
      </c>
      <c r="J56" s="5" t="s">
        <v>45</v>
      </c>
      <c r="K56" s="6">
        <v>29</v>
      </c>
      <c r="L56" t="str" cm="1">
        <f t="array" ref="L56">_xlfn.IFS(K56&gt;=26,"Alto",K56&lt;11,"Baixo",K56&lt;26,"Médio")</f>
        <v>Alto</v>
      </c>
      <c r="M56" t="str">
        <f>IF(AND(Tabela13[[#This Row],[flag_inadimplente]]="Sim",Tabela13[[#This Row],[nivel_risco]]="Alto"),"Negado","Aprovado")</f>
        <v>Aprovado</v>
      </c>
      <c r="N56" t="str">
        <f>IF(AND(Tabela13[[#This Row],[credito_tomado]]&gt;50000,Tabela13[[#This Row],[flag_inadimplente]]="Sim"),"Negado","Aprovado")</f>
        <v>Aprovado</v>
      </c>
      <c r="O56" s="4">
        <f>IF(AND(Tabela13[[#This Row],[analise_risco]]="Negado",Tabela13[[#This Row],[analise_credito]]="Negado"),0,IF(Tabela13[[#This Row],[status]]="Ativo",Tabela13[[#This Row],[valor_solicitado]]*8%,0))</f>
        <v>0</v>
      </c>
      <c r="P56" s="4">
        <v>74500</v>
      </c>
    </row>
    <row r="57" spans="1:16">
      <c r="A57" t="s">
        <v>71</v>
      </c>
      <c r="B57" t="s">
        <v>207</v>
      </c>
      <c r="C57" s="2" t="s">
        <v>208</v>
      </c>
      <c r="D57" s="24">
        <v>61</v>
      </c>
      <c r="E57" s="3">
        <v>23928</v>
      </c>
      <c r="F57" t="s">
        <v>93</v>
      </c>
      <c r="G57" t="s">
        <v>94</v>
      </c>
      <c r="H57" s="4">
        <v>22900</v>
      </c>
      <c r="I57" s="4">
        <v>7500</v>
      </c>
      <c r="J57" s="5" t="s">
        <v>45</v>
      </c>
      <c r="K57" s="6">
        <v>12</v>
      </c>
      <c r="L57" t="str" cm="1">
        <f t="array" ref="L57">_xlfn.IFS(K57&gt;=26,"Alto",K57&lt;11,"Baixo",K57&lt;26,"Médio")</f>
        <v>Médio</v>
      </c>
      <c r="M57" t="str">
        <f>IF(AND(Tabela13[[#This Row],[flag_inadimplente]]="Sim",Tabela13[[#This Row],[nivel_risco]]="Alto"),"Negado","Aprovado")</f>
        <v>Aprovado</v>
      </c>
      <c r="N57" t="str">
        <f>IF(AND(Tabela13[[#This Row],[credito_tomado]]&gt;50000,Tabela13[[#This Row],[flag_inadimplente]]="Sim"),"Negado","Aprovado")</f>
        <v>Aprovado</v>
      </c>
      <c r="O57" s="4">
        <f>IF(AND(Tabela13[[#This Row],[analise_risco]]="Negado",Tabela13[[#This Row],[analise_credito]]="Negado"),0,IF(Tabela13[[#This Row],[status]]="Ativo",Tabela13[[#This Row],[valor_solicitado]]*8%,0))</f>
        <v>5840</v>
      </c>
      <c r="P57" s="4">
        <v>73000</v>
      </c>
    </row>
    <row r="58" spans="1:16">
      <c r="A58" t="s">
        <v>71</v>
      </c>
      <c r="B58" t="s">
        <v>207</v>
      </c>
      <c r="C58" s="2" t="s">
        <v>208</v>
      </c>
      <c r="D58" s="24">
        <v>61</v>
      </c>
      <c r="E58" s="3">
        <v>23928</v>
      </c>
      <c r="F58" t="s">
        <v>93</v>
      </c>
      <c r="G58" t="s">
        <v>94</v>
      </c>
      <c r="H58" s="4">
        <v>22900</v>
      </c>
      <c r="I58" s="4">
        <v>7500</v>
      </c>
      <c r="J58" s="5" t="s">
        <v>45</v>
      </c>
      <c r="K58" s="6">
        <v>12</v>
      </c>
      <c r="L58" t="str" cm="1">
        <f t="array" ref="L58">_xlfn.IFS(K58&gt;=26,"Alto",K58&lt;11,"Baixo",K58&lt;26,"Médio")</f>
        <v>Médio</v>
      </c>
      <c r="M58" t="str">
        <f>IF(AND(Tabela13[[#This Row],[flag_inadimplente]]="Sim",Tabela13[[#This Row],[nivel_risco]]="Alto"),"Negado","Aprovado")</f>
        <v>Aprovado</v>
      </c>
      <c r="N58" t="str">
        <f>IF(AND(Tabela13[[#This Row],[credito_tomado]]&gt;50000,Tabela13[[#This Row],[flag_inadimplente]]="Sim"),"Negado","Aprovado")</f>
        <v>Aprovado</v>
      </c>
      <c r="O58" s="4">
        <f>IF(AND(Tabela13[[#This Row],[analise_risco]]="Negado",Tabela13[[#This Row],[analise_credito]]="Negado"),0,IF(Tabela13[[#This Row],[status]]="Ativo",Tabela13[[#This Row],[valor_solicitado]]*8%,0))</f>
        <v>2640</v>
      </c>
      <c r="P58" s="4">
        <v>33000</v>
      </c>
    </row>
    <row r="59" spans="1:16">
      <c r="A59" t="s">
        <v>71</v>
      </c>
      <c r="B59" t="s">
        <v>209</v>
      </c>
      <c r="C59" s="2" t="s">
        <v>210</v>
      </c>
      <c r="D59" s="24">
        <v>30</v>
      </c>
      <c r="E59" s="3">
        <v>35180</v>
      </c>
      <c r="F59" t="s">
        <v>126</v>
      </c>
      <c r="G59" t="s">
        <v>98</v>
      </c>
      <c r="H59" s="4">
        <v>13800</v>
      </c>
      <c r="I59" s="4">
        <v>42000</v>
      </c>
      <c r="J59" s="5" t="s">
        <v>211</v>
      </c>
      <c r="K59" s="6">
        <v>29</v>
      </c>
      <c r="L59" t="str" cm="1">
        <f t="array" ref="L59">_xlfn.IFS(K59&gt;=26,"Alto",K59&lt;11,"Baixo",K59&lt;26,"Médio")</f>
        <v>Alto</v>
      </c>
      <c r="M59" t="str">
        <f>IF(AND(Tabela13[[#This Row],[flag_inadimplente]]="Sim",Tabela13[[#This Row],[nivel_risco]]="Alto"),"Negado","Aprovado")</f>
        <v>Aprovado</v>
      </c>
      <c r="N59" t="str">
        <f>IF(AND(Tabela13[[#This Row],[credito_tomado]]&gt;50000,Tabela13[[#This Row],[flag_inadimplente]]="Sim"),"Negado","Aprovado")</f>
        <v>Aprovado</v>
      </c>
      <c r="O59" s="4">
        <f>IF(AND(Tabela13[[#This Row],[analise_risco]]="Negado",Tabela13[[#This Row],[analise_credito]]="Negado"),0,IF(Tabela13[[#This Row],[status]]="Ativo",Tabela13[[#This Row],[valor_solicitado]]*8%,0))</f>
        <v>560</v>
      </c>
      <c r="P59" s="4">
        <v>7000</v>
      </c>
    </row>
    <row r="60" spans="1:16">
      <c r="A60" t="s">
        <v>80</v>
      </c>
      <c r="B60" t="s">
        <v>212</v>
      </c>
      <c r="C60" s="2" t="s">
        <v>213</v>
      </c>
      <c r="D60" s="24">
        <v>56</v>
      </c>
      <c r="E60" s="3">
        <v>25705</v>
      </c>
      <c r="F60" t="s">
        <v>152</v>
      </c>
      <c r="G60" t="s">
        <v>123</v>
      </c>
      <c r="H60" s="4">
        <v>11100</v>
      </c>
      <c r="I60" s="4">
        <v>13000</v>
      </c>
      <c r="J60" s="5" t="s">
        <v>45</v>
      </c>
      <c r="K60" s="6">
        <v>38</v>
      </c>
      <c r="L60" t="str" cm="1">
        <f t="array" ref="L60">_xlfn.IFS(K60&gt;=26,"Alto",K60&lt;11,"Baixo",K60&lt;26,"Médio")</f>
        <v>Alto</v>
      </c>
      <c r="M60" t="str">
        <f>IF(AND(Tabela13[[#This Row],[flag_inadimplente]]="Sim",Tabela13[[#This Row],[nivel_risco]]="Alto"),"Negado","Aprovado")</f>
        <v>Aprovado</v>
      </c>
      <c r="N60" t="str">
        <f>IF(AND(Tabela13[[#This Row],[credito_tomado]]&gt;50000,Tabela13[[#This Row],[flag_inadimplente]]="Sim"),"Negado","Aprovado")</f>
        <v>Aprovado</v>
      </c>
      <c r="O60" s="4">
        <f>IF(AND(Tabela13[[#This Row],[analise_risco]]="Negado",Tabela13[[#This Row],[analise_credito]]="Negado"),0,IF(Tabela13[[#This Row],[status]]="Ativo",Tabela13[[#This Row],[valor_solicitado]]*8%,0))</f>
        <v>0</v>
      </c>
      <c r="P60" s="4">
        <v>88000</v>
      </c>
    </row>
    <row r="61" spans="1:16">
      <c r="A61" t="s">
        <v>71</v>
      </c>
      <c r="B61" t="s">
        <v>214</v>
      </c>
      <c r="C61" s="2" t="s">
        <v>215</v>
      </c>
      <c r="D61" s="24">
        <v>68</v>
      </c>
      <c r="E61" s="3">
        <v>21145</v>
      </c>
      <c r="F61" t="s">
        <v>216</v>
      </c>
      <c r="G61" t="s">
        <v>94</v>
      </c>
      <c r="H61" s="4">
        <v>24500</v>
      </c>
      <c r="I61" s="4">
        <v>16500</v>
      </c>
      <c r="J61" s="5" t="s">
        <v>45</v>
      </c>
      <c r="K61" s="6">
        <v>22</v>
      </c>
      <c r="L61" t="str" cm="1">
        <f t="array" ref="L61">_xlfn.IFS(K61&gt;=26,"Alto",K61&lt;11,"Baixo",K61&lt;26,"Médio")</f>
        <v>Médio</v>
      </c>
      <c r="M61" t="str">
        <f>IF(AND(Tabela13[[#This Row],[flag_inadimplente]]="Sim",Tabela13[[#This Row],[nivel_risco]]="Alto"),"Negado","Aprovado")</f>
        <v>Aprovado</v>
      </c>
      <c r="N61" t="str">
        <f>IF(AND(Tabela13[[#This Row],[credito_tomado]]&gt;50000,Tabela13[[#This Row],[flag_inadimplente]]="Sim"),"Negado","Aprovado")</f>
        <v>Aprovado</v>
      </c>
      <c r="O61" s="4">
        <f>IF(AND(Tabela13[[#This Row],[analise_risco]]="Negado",Tabela13[[#This Row],[analise_credito]]="Negado"),0,IF(Tabela13[[#This Row],[status]]="Ativo",Tabela13[[#This Row],[valor_solicitado]]*8%,0))</f>
        <v>2760</v>
      </c>
      <c r="P61" s="4">
        <v>34500</v>
      </c>
    </row>
    <row r="62" spans="1:16">
      <c r="A62" t="s">
        <v>71</v>
      </c>
      <c r="B62" t="s">
        <v>217</v>
      </c>
      <c r="C62" s="2" t="s">
        <v>218</v>
      </c>
      <c r="D62" s="24">
        <v>60</v>
      </c>
      <c r="E62" s="3">
        <v>24082</v>
      </c>
      <c r="F62" t="s">
        <v>188</v>
      </c>
      <c r="G62" t="s">
        <v>195</v>
      </c>
      <c r="H62" s="4">
        <v>13800</v>
      </c>
      <c r="I62" s="4">
        <v>45500</v>
      </c>
      <c r="J62" s="5" t="s">
        <v>45</v>
      </c>
      <c r="K62" s="6">
        <v>30</v>
      </c>
      <c r="L62" t="str" cm="1">
        <f t="array" ref="L62">_xlfn.IFS(K62&gt;=26,"Alto",K62&lt;11,"Baixo",K62&lt;26,"Médio")</f>
        <v>Alto</v>
      </c>
      <c r="M62" t="str">
        <f>IF(AND(Tabela13[[#This Row],[flag_inadimplente]]="Sim",Tabela13[[#This Row],[nivel_risco]]="Alto"),"Negado","Aprovado")</f>
        <v>Aprovado</v>
      </c>
      <c r="N62" t="str">
        <f>IF(AND(Tabela13[[#This Row],[credito_tomado]]&gt;50000,Tabela13[[#This Row],[flag_inadimplente]]="Sim"),"Negado","Aprovado")</f>
        <v>Aprovado</v>
      </c>
      <c r="O62" s="4">
        <f>IF(AND(Tabela13[[#This Row],[analise_risco]]="Negado",Tabela13[[#This Row],[analise_credito]]="Negado"),0,IF(Tabela13[[#This Row],[status]]="Ativo",Tabela13[[#This Row],[valor_solicitado]]*8%,0))</f>
        <v>1400</v>
      </c>
      <c r="P62" s="4">
        <v>17500</v>
      </c>
    </row>
    <row r="63" spans="1:16">
      <c r="A63" t="s">
        <v>71</v>
      </c>
      <c r="B63" t="s">
        <v>219</v>
      </c>
      <c r="C63" s="2" t="s">
        <v>220</v>
      </c>
      <c r="D63" s="24">
        <v>33</v>
      </c>
      <c r="E63" s="3">
        <v>34070</v>
      </c>
      <c r="F63" t="s">
        <v>93</v>
      </c>
      <c r="G63" t="s">
        <v>94</v>
      </c>
      <c r="H63" s="4">
        <v>29300</v>
      </c>
      <c r="I63" s="4">
        <v>69000</v>
      </c>
      <c r="J63" s="5" t="s">
        <v>46</v>
      </c>
      <c r="K63" s="6">
        <v>0</v>
      </c>
      <c r="L63" t="str" cm="1">
        <f t="array" ref="L63">_xlfn.IFS(K63&gt;=26,"Alto",K63&lt;11,"Baixo",K63&lt;26,"Médio")</f>
        <v>Baixo</v>
      </c>
      <c r="M63" t="str">
        <f>IF(AND(Tabela13[[#This Row],[flag_inadimplente]]="Sim",Tabela13[[#This Row],[nivel_risco]]="Alto"),"Negado","Aprovado")</f>
        <v>Aprovado</v>
      </c>
      <c r="N63" t="str">
        <f>IF(AND(Tabela13[[#This Row],[credito_tomado]]&gt;50000,Tabela13[[#This Row],[flag_inadimplente]]="Sim"),"Negado","Aprovado")</f>
        <v>Negado</v>
      </c>
      <c r="O63" s="4">
        <f>IF(AND(Tabela13[[#This Row],[analise_risco]]="Negado",Tabela13[[#This Row],[analise_credito]]="Negado"),0,IF(Tabela13[[#This Row],[status]]="Ativo",Tabela13[[#This Row],[valor_solicitado]]*8%,0))</f>
        <v>360</v>
      </c>
      <c r="P63" s="4">
        <v>4500</v>
      </c>
    </row>
    <row r="64" spans="1:16">
      <c r="A64" t="s">
        <v>71</v>
      </c>
      <c r="B64" t="s">
        <v>221</v>
      </c>
      <c r="C64" s="2" t="s">
        <v>222</v>
      </c>
      <c r="D64" s="24">
        <v>63</v>
      </c>
      <c r="E64" s="3">
        <v>23006</v>
      </c>
      <c r="F64" t="s">
        <v>97</v>
      </c>
      <c r="G64" t="s">
        <v>98</v>
      </c>
      <c r="H64" s="4">
        <v>11200</v>
      </c>
      <c r="I64" s="8" t="s">
        <v>80</v>
      </c>
      <c r="J64" s="7" t="s">
        <v>80</v>
      </c>
      <c r="K64" s="6">
        <v>41</v>
      </c>
      <c r="L64" t="str" cm="1">
        <f t="array" ref="L64">_xlfn.IFS(K64&gt;=26,"Alto",K64&lt;11,"Baixo",K64&lt;26,"Médio")</f>
        <v>Alto</v>
      </c>
      <c r="M64" t="str">
        <f>IF(AND(Tabela13[[#This Row],[flag_inadimplente]]="Sim",Tabela13[[#This Row],[nivel_risco]]="Alto"),"Negado","Aprovado")</f>
        <v>Aprovado</v>
      </c>
      <c r="N64" t="str">
        <f>IF(AND(Tabela13[[#This Row],[credito_tomado]]&gt;50000,Tabela13[[#This Row],[flag_inadimplente]]="Sim"),"Negado","Aprovado")</f>
        <v>Aprovado</v>
      </c>
      <c r="O64" s="4">
        <f>IF(AND(Tabela13[[#This Row],[analise_risco]]="Negado",Tabela13[[#This Row],[analise_credito]]="Negado"),0,IF(Tabela13[[#This Row],[status]]="Ativo",Tabela13[[#This Row],[valor_solicitado]]*8%,0))</f>
        <v>6680</v>
      </c>
      <c r="P64" s="4">
        <v>83500</v>
      </c>
    </row>
    <row r="65" spans="1:16">
      <c r="A65" t="s">
        <v>71</v>
      </c>
      <c r="B65" t="s">
        <v>223</v>
      </c>
      <c r="C65" s="2" t="s">
        <v>224</v>
      </c>
      <c r="D65" s="24" t="s">
        <v>225</v>
      </c>
      <c r="E65" s="3">
        <v>36255</v>
      </c>
      <c r="F65" t="s">
        <v>97</v>
      </c>
      <c r="G65" t="s">
        <v>98</v>
      </c>
      <c r="H65" s="4">
        <v>14000</v>
      </c>
      <c r="I65" s="4">
        <v>63500</v>
      </c>
      <c r="J65" s="5" t="s">
        <v>45</v>
      </c>
      <c r="K65" s="6">
        <v>24</v>
      </c>
      <c r="L65" t="str" cm="1">
        <f t="array" ref="L65">_xlfn.IFS(K65&gt;=26,"Alto",K65&lt;11,"Baixo",K65&lt;26,"Médio")</f>
        <v>Médio</v>
      </c>
      <c r="M65" t="str">
        <f>IF(AND(Tabela13[[#This Row],[flag_inadimplente]]="Sim",Tabela13[[#This Row],[nivel_risco]]="Alto"),"Negado","Aprovado")</f>
        <v>Aprovado</v>
      </c>
      <c r="N65" t="str">
        <f>IF(AND(Tabela13[[#This Row],[credito_tomado]]&gt;50000,Tabela13[[#This Row],[flag_inadimplente]]="Sim"),"Negado","Aprovado")</f>
        <v>Aprovado</v>
      </c>
      <c r="O65" s="4">
        <f>IF(AND(Tabela13[[#This Row],[analise_risco]]="Negado",Tabela13[[#This Row],[analise_credito]]="Negado"),0,IF(Tabela13[[#This Row],[status]]="Ativo",Tabela13[[#This Row],[valor_solicitado]]*8%,0))</f>
        <v>6960</v>
      </c>
      <c r="P65" s="4">
        <v>87000</v>
      </c>
    </row>
    <row r="66" spans="1:16">
      <c r="A66" t="s">
        <v>71</v>
      </c>
      <c r="B66" t="s">
        <v>226</v>
      </c>
      <c r="C66" s="2" t="s">
        <v>227</v>
      </c>
      <c r="D66" s="24">
        <v>64</v>
      </c>
      <c r="E66" s="3">
        <v>22828</v>
      </c>
      <c r="F66" t="s">
        <v>198</v>
      </c>
      <c r="G66" t="s">
        <v>84</v>
      </c>
      <c r="H66" s="4">
        <v>2900</v>
      </c>
      <c r="I66" s="4">
        <v>76000</v>
      </c>
      <c r="J66" s="5" t="s">
        <v>45</v>
      </c>
      <c r="K66" s="6">
        <v>32</v>
      </c>
      <c r="L66" t="str" cm="1">
        <f t="array" ref="L66">_xlfn.IFS(K66&gt;=26,"Alto",K66&lt;11,"Baixo",K66&lt;26,"Médio")</f>
        <v>Alto</v>
      </c>
      <c r="M66" t="str">
        <f>IF(AND(Tabela13[[#This Row],[flag_inadimplente]]="Sim",Tabela13[[#This Row],[nivel_risco]]="Alto"),"Negado","Aprovado")</f>
        <v>Aprovado</v>
      </c>
      <c r="N66" t="str">
        <f>IF(AND(Tabela13[[#This Row],[credito_tomado]]&gt;50000,Tabela13[[#This Row],[flag_inadimplente]]="Sim"),"Negado","Aprovado")</f>
        <v>Aprovado</v>
      </c>
      <c r="O66" s="4">
        <f>IF(AND(Tabela13[[#This Row],[analise_risco]]="Negado",Tabela13[[#This Row],[analise_credito]]="Negado"),0,IF(Tabela13[[#This Row],[status]]="Ativo",Tabela13[[#This Row],[valor_solicitado]]*8%,0))</f>
        <v>5800</v>
      </c>
      <c r="P66" s="4">
        <v>72500</v>
      </c>
    </row>
    <row r="67" spans="1:16">
      <c r="A67" t="s">
        <v>71</v>
      </c>
      <c r="B67" t="s">
        <v>228</v>
      </c>
      <c r="C67" s="2" t="s">
        <v>229</v>
      </c>
      <c r="D67" s="24">
        <v>70</v>
      </c>
      <c r="E67" s="3">
        <v>20515</v>
      </c>
      <c r="F67" t="s">
        <v>115</v>
      </c>
      <c r="G67" t="s">
        <v>75</v>
      </c>
      <c r="H67" s="4">
        <v>19500</v>
      </c>
      <c r="I67" s="4">
        <v>62000</v>
      </c>
      <c r="J67" s="5" t="s">
        <v>46</v>
      </c>
      <c r="K67" s="6">
        <v>45</v>
      </c>
      <c r="L67" t="str" cm="1">
        <f t="array" ref="L67">_xlfn.IFS(K67&gt;=26,"Alto",K67&lt;11,"Baixo",K67&lt;26,"Médio")</f>
        <v>Alto</v>
      </c>
      <c r="M67" t="str">
        <f>IF(AND(Tabela13[[#This Row],[flag_inadimplente]]="Sim",Tabela13[[#This Row],[nivel_risco]]="Alto"),"Negado","Aprovado")</f>
        <v>Negado</v>
      </c>
      <c r="N67" t="str">
        <f>IF(AND(Tabela13[[#This Row],[credito_tomado]]&gt;50000,Tabela13[[#This Row],[flag_inadimplente]]="Sim"),"Negado","Aprovado")</f>
        <v>Negado</v>
      </c>
      <c r="O67" s="4">
        <f>IF(AND(Tabela13[[#This Row],[analise_risco]]="Negado",Tabela13[[#This Row],[analise_credito]]="Negado"),0,IF(Tabela13[[#This Row],[status]]="Ativo",Tabela13[[#This Row],[valor_solicitado]]*8%,0))</f>
        <v>0</v>
      </c>
      <c r="P67" s="4">
        <v>35500</v>
      </c>
    </row>
    <row r="68" spans="1:16">
      <c r="A68" t="s">
        <v>71</v>
      </c>
      <c r="B68" t="s">
        <v>230</v>
      </c>
      <c r="C68" s="2" t="s">
        <v>231</v>
      </c>
      <c r="D68" s="24">
        <v>38</v>
      </c>
      <c r="E68" s="3">
        <v>32166</v>
      </c>
      <c r="F68" t="s">
        <v>97</v>
      </c>
      <c r="G68" t="s">
        <v>98</v>
      </c>
      <c r="H68" s="4">
        <v>19500</v>
      </c>
      <c r="I68" s="4">
        <v>39000</v>
      </c>
      <c r="J68" s="5" t="s">
        <v>45</v>
      </c>
      <c r="K68" s="6">
        <v>25</v>
      </c>
      <c r="L68" t="str" cm="1">
        <f t="array" ref="L68">_xlfn.IFS(K68&gt;=26,"Alto",K68&lt;11,"Baixo",K68&lt;26,"Médio")</f>
        <v>Médio</v>
      </c>
      <c r="M68" t="str">
        <f>IF(AND(Tabela13[[#This Row],[flag_inadimplente]]="Sim",Tabela13[[#This Row],[nivel_risco]]="Alto"),"Negado","Aprovado")</f>
        <v>Aprovado</v>
      </c>
      <c r="N68" t="str">
        <f>IF(AND(Tabela13[[#This Row],[credito_tomado]]&gt;50000,Tabela13[[#This Row],[flag_inadimplente]]="Sim"),"Negado","Aprovado")</f>
        <v>Aprovado</v>
      </c>
      <c r="O68" s="4">
        <f>IF(AND(Tabela13[[#This Row],[analise_risco]]="Negado",Tabela13[[#This Row],[analise_credito]]="Negado"),0,IF(Tabela13[[#This Row],[status]]="Ativo",Tabela13[[#This Row],[valor_solicitado]]*8%,0))</f>
        <v>7080</v>
      </c>
      <c r="P68" s="4">
        <v>88500</v>
      </c>
    </row>
    <row r="69" spans="1:16">
      <c r="A69" t="s">
        <v>85</v>
      </c>
      <c r="B69" t="s">
        <v>232</v>
      </c>
      <c r="C69" s="2" t="s">
        <v>233</v>
      </c>
      <c r="D69" s="24">
        <v>57</v>
      </c>
      <c r="E69" s="3">
        <v>25324</v>
      </c>
      <c r="F69" t="s">
        <v>126</v>
      </c>
      <c r="G69" t="s">
        <v>98</v>
      </c>
      <c r="H69" s="4">
        <v>9500</v>
      </c>
      <c r="I69" s="4">
        <v>58000</v>
      </c>
      <c r="J69" s="5" t="s">
        <v>45</v>
      </c>
      <c r="K69" s="6">
        <v>23</v>
      </c>
      <c r="L69" t="str" cm="1">
        <f t="array" ref="L69">_xlfn.IFS(K69&gt;=26,"Alto",K69&lt;11,"Baixo",K69&lt;26,"Médio")</f>
        <v>Médio</v>
      </c>
      <c r="M69" t="str">
        <f>IF(AND(Tabela13[[#This Row],[flag_inadimplente]]="Sim",Tabela13[[#This Row],[nivel_risco]]="Alto"),"Negado","Aprovado")</f>
        <v>Aprovado</v>
      </c>
      <c r="N69" t="str">
        <f>IF(AND(Tabela13[[#This Row],[credito_tomado]]&gt;50000,Tabela13[[#This Row],[flag_inadimplente]]="Sim"),"Negado","Aprovado")</f>
        <v>Aprovado</v>
      </c>
      <c r="O69" s="4">
        <f>IF(AND(Tabela13[[#This Row],[analise_risco]]="Negado",Tabela13[[#This Row],[analise_credito]]="Negado"),0,IF(Tabela13[[#This Row],[status]]="Ativo",Tabela13[[#This Row],[valor_solicitado]]*8%,0))</f>
        <v>0</v>
      </c>
      <c r="P69" s="4">
        <v>81500</v>
      </c>
    </row>
    <row r="70" spans="1:16">
      <c r="A70" t="s">
        <v>71</v>
      </c>
      <c r="B70" t="s">
        <v>234</v>
      </c>
      <c r="C70" s="2" t="s">
        <v>235</v>
      </c>
      <c r="D70" s="24">
        <v>24</v>
      </c>
      <c r="E70" s="3">
        <v>37259</v>
      </c>
      <c r="F70" t="s">
        <v>90</v>
      </c>
      <c r="G70" t="s">
        <v>90</v>
      </c>
      <c r="H70" s="4">
        <v>25200</v>
      </c>
      <c r="I70" s="4">
        <v>0</v>
      </c>
      <c r="J70" s="5" t="s">
        <v>45</v>
      </c>
      <c r="K70" s="6">
        <v>10</v>
      </c>
      <c r="L70" t="str" cm="1">
        <f t="array" ref="L70">_xlfn.IFS(K70&gt;=26,"Alto",K70&lt;11,"Baixo",K70&lt;26,"Médio")</f>
        <v>Baixo</v>
      </c>
      <c r="M70" t="str">
        <f>IF(AND(Tabela13[[#This Row],[flag_inadimplente]]="Sim",Tabela13[[#This Row],[nivel_risco]]="Alto"),"Negado","Aprovado")</f>
        <v>Aprovado</v>
      </c>
      <c r="N70" t="str">
        <f>IF(AND(Tabela13[[#This Row],[credito_tomado]]&gt;50000,Tabela13[[#This Row],[flag_inadimplente]]="Sim"),"Negado","Aprovado")</f>
        <v>Aprovado</v>
      </c>
      <c r="O70" s="4">
        <f>IF(AND(Tabela13[[#This Row],[analise_risco]]="Negado",Tabela13[[#This Row],[analise_credito]]="Negado"),0,IF(Tabela13[[#This Row],[status]]="Ativo",Tabela13[[#This Row],[valor_solicitado]]*8%,0))</f>
        <v>5560</v>
      </c>
      <c r="P70" s="4">
        <v>69500</v>
      </c>
    </row>
    <row r="71" spans="1:16">
      <c r="A71" t="s">
        <v>85</v>
      </c>
      <c r="B71" t="s">
        <v>236</v>
      </c>
      <c r="C71" s="2" t="s">
        <v>237</v>
      </c>
      <c r="D71" s="24">
        <v>49</v>
      </c>
      <c r="E71" s="3">
        <v>28286</v>
      </c>
      <c r="F71" t="s">
        <v>101</v>
      </c>
      <c r="G71" t="s">
        <v>102</v>
      </c>
      <c r="H71" s="4">
        <v>21900</v>
      </c>
      <c r="I71" s="4">
        <v>69000</v>
      </c>
      <c r="J71" s="5" t="s">
        <v>45</v>
      </c>
      <c r="K71" s="6">
        <v>4</v>
      </c>
      <c r="L71" t="str" cm="1">
        <f t="array" ref="L71">_xlfn.IFS(K71&gt;=26,"Alto",K71&lt;11,"Baixo",K71&lt;26,"Médio")</f>
        <v>Baixo</v>
      </c>
      <c r="M71" t="str">
        <f>IF(AND(Tabela13[[#This Row],[flag_inadimplente]]="Sim",Tabela13[[#This Row],[nivel_risco]]="Alto"),"Negado","Aprovado")</f>
        <v>Aprovado</v>
      </c>
      <c r="N71" t="str">
        <f>IF(AND(Tabela13[[#This Row],[credito_tomado]]&gt;50000,Tabela13[[#This Row],[flag_inadimplente]]="Sim"),"Negado","Aprovado")</f>
        <v>Aprovado</v>
      </c>
      <c r="O71" s="4">
        <f>IF(AND(Tabela13[[#This Row],[analise_risco]]="Negado",Tabela13[[#This Row],[analise_credito]]="Negado"),0,IF(Tabela13[[#This Row],[status]]="Ativo",Tabela13[[#This Row],[valor_solicitado]]*8%,0))</f>
        <v>0</v>
      </c>
      <c r="P71" s="4">
        <v>80500</v>
      </c>
    </row>
    <row r="72" spans="1:16">
      <c r="A72" t="s">
        <v>71</v>
      </c>
      <c r="B72" t="s">
        <v>238</v>
      </c>
      <c r="C72" s="2" t="s">
        <v>239</v>
      </c>
      <c r="D72" s="24">
        <v>47</v>
      </c>
      <c r="E72" s="3">
        <v>28841</v>
      </c>
      <c r="F72" t="s">
        <v>90</v>
      </c>
      <c r="G72" t="s">
        <v>90</v>
      </c>
      <c r="H72" s="4">
        <v>21300</v>
      </c>
      <c r="I72" s="4">
        <v>62000</v>
      </c>
      <c r="J72" s="5" t="s">
        <v>46</v>
      </c>
      <c r="K72" s="6">
        <v>37</v>
      </c>
      <c r="L72" t="str" cm="1">
        <f t="array" ref="L72">_xlfn.IFS(K72&gt;=26,"Alto",K72&lt;11,"Baixo",K72&lt;26,"Médio")</f>
        <v>Alto</v>
      </c>
      <c r="M72" t="str">
        <f>IF(AND(Tabela13[[#This Row],[flag_inadimplente]]="Sim",Tabela13[[#This Row],[nivel_risco]]="Alto"),"Negado","Aprovado")</f>
        <v>Negado</v>
      </c>
      <c r="N72" t="str">
        <f>IF(AND(Tabela13[[#This Row],[credito_tomado]]&gt;50000,Tabela13[[#This Row],[flag_inadimplente]]="Sim"),"Negado","Aprovado")</f>
        <v>Negado</v>
      </c>
      <c r="O72" s="4">
        <f>IF(AND(Tabela13[[#This Row],[analise_risco]]="Negado",Tabela13[[#This Row],[analise_credito]]="Negado"),0,IF(Tabela13[[#This Row],[status]]="Ativo",Tabela13[[#This Row],[valor_solicitado]]*8%,0))</f>
        <v>0</v>
      </c>
      <c r="P72" s="4">
        <v>92500</v>
      </c>
    </row>
    <row r="73" spans="1:16">
      <c r="A73" t="s">
        <v>71</v>
      </c>
      <c r="B73" t="s">
        <v>240</v>
      </c>
      <c r="C73" s="2" t="s">
        <v>241</v>
      </c>
      <c r="D73" s="24">
        <v>25</v>
      </c>
      <c r="E73" s="3">
        <v>37091</v>
      </c>
      <c r="F73" t="s">
        <v>107</v>
      </c>
      <c r="G73" t="s">
        <v>108</v>
      </c>
      <c r="H73" s="4">
        <v>28800</v>
      </c>
      <c r="I73" s="8" t="s">
        <v>80</v>
      </c>
      <c r="J73" s="5" t="s">
        <v>45</v>
      </c>
      <c r="K73" s="6">
        <v>12</v>
      </c>
      <c r="L73" t="str" cm="1">
        <f t="array" ref="L73">_xlfn.IFS(K73&gt;=26,"Alto",K73&lt;11,"Baixo",K73&lt;26,"Médio")</f>
        <v>Médio</v>
      </c>
      <c r="M73" t="str">
        <f>IF(AND(Tabela13[[#This Row],[flag_inadimplente]]="Sim",Tabela13[[#This Row],[nivel_risco]]="Alto"),"Negado","Aprovado")</f>
        <v>Aprovado</v>
      </c>
      <c r="N73" t="str">
        <f>IF(AND(Tabela13[[#This Row],[credito_tomado]]&gt;50000,Tabela13[[#This Row],[flag_inadimplente]]="Sim"),"Negado","Aprovado")</f>
        <v>Aprovado</v>
      </c>
      <c r="O73" s="4">
        <f>IF(AND(Tabela13[[#This Row],[analise_risco]]="Negado",Tabela13[[#This Row],[analise_credito]]="Negado"),0,IF(Tabela13[[#This Row],[status]]="Ativo",Tabela13[[#This Row],[valor_solicitado]]*8%,0))</f>
        <v>3720</v>
      </c>
      <c r="P73" s="4">
        <v>46500</v>
      </c>
    </row>
    <row r="74" spans="1:16">
      <c r="A74" t="s">
        <v>85</v>
      </c>
      <c r="B74" t="s">
        <v>242</v>
      </c>
      <c r="C74" s="2" t="s">
        <v>243</v>
      </c>
      <c r="D74" s="24">
        <v>46</v>
      </c>
      <c r="E74" s="3">
        <v>29427</v>
      </c>
      <c r="F74" t="s">
        <v>198</v>
      </c>
      <c r="G74" t="s">
        <v>84</v>
      </c>
      <c r="H74" s="4" t="s">
        <v>80</v>
      </c>
      <c r="I74" s="4">
        <v>37500</v>
      </c>
      <c r="J74" s="5" t="s">
        <v>45</v>
      </c>
      <c r="K74" s="6">
        <v>40</v>
      </c>
      <c r="L74" t="str" cm="1">
        <f t="array" ref="L74">_xlfn.IFS(K74&gt;=26,"Alto",K74&lt;11,"Baixo",K74&lt;26,"Médio")</f>
        <v>Alto</v>
      </c>
      <c r="M74" t="str">
        <f>IF(AND(Tabela13[[#This Row],[flag_inadimplente]]="Sim",Tabela13[[#This Row],[nivel_risco]]="Alto"),"Negado","Aprovado")</f>
        <v>Aprovado</v>
      </c>
      <c r="N74" t="str">
        <f>IF(AND(Tabela13[[#This Row],[credito_tomado]]&gt;50000,Tabela13[[#This Row],[flag_inadimplente]]="Sim"),"Negado","Aprovado")</f>
        <v>Aprovado</v>
      </c>
      <c r="O74" s="4">
        <f>IF(AND(Tabela13[[#This Row],[analise_risco]]="Negado",Tabela13[[#This Row],[analise_credito]]="Negado"),0,IF(Tabela13[[#This Row],[status]]="Ativo",Tabela13[[#This Row],[valor_solicitado]]*8%,0))</f>
        <v>0</v>
      </c>
      <c r="P74" s="4">
        <v>77000</v>
      </c>
    </row>
    <row r="75" spans="1:16">
      <c r="A75" t="s">
        <v>85</v>
      </c>
      <c r="B75" t="s">
        <v>242</v>
      </c>
      <c r="C75" s="2" t="s">
        <v>243</v>
      </c>
      <c r="D75" s="24">
        <v>46</v>
      </c>
      <c r="E75" s="3">
        <v>29427</v>
      </c>
      <c r="F75" t="s">
        <v>198</v>
      </c>
      <c r="G75" t="s">
        <v>84</v>
      </c>
      <c r="H75" s="4" t="s">
        <v>80</v>
      </c>
      <c r="I75" s="4">
        <v>37500</v>
      </c>
      <c r="J75" s="5" t="s">
        <v>45</v>
      </c>
      <c r="K75" s="6" t="s">
        <v>80</v>
      </c>
      <c r="L75" t="str" cm="1">
        <f t="array" ref="L75">_xlfn.IFS(K75&gt;=26,"Alto",K75&lt;11,"Baixo",K75&lt;26,"Médio")</f>
        <v>Alto</v>
      </c>
      <c r="M75" t="str">
        <f>IF(AND(Tabela13[[#This Row],[flag_inadimplente]]="Sim",Tabela13[[#This Row],[nivel_risco]]="Alto"),"Negado","Aprovado")</f>
        <v>Aprovado</v>
      </c>
      <c r="N75" t="str">
        <f>IF(AND(Tabela13[[#This Row],[credito_tomado]]&gt;50000,Tabela13[[#This Row],[flag_inadimplente]]="Sim"),"Negado","Aprovado")</f>
        <v>Aprovado</v>
      </c>
      <c r="O75" s="4">
        <f>IF(AND(Tabela13[[#This Row],[analise_risco]]="Negado",Tabela13[[#This Row],[analise_credito]]="Negado"),0,IF(Tabela13[[#This Row],[status]]="Ativo",Tabela13[[#This Row],[valor_solicitado]]*8%,0))</f>
        <v>0</v>
      </c>
      <c r="P75" s="4">
        <v>21500</v>
      </c>
    </row>
    <row r="76" spans="1:16">
      <c r="A76" t="s">
        <v>71</v>
      </c>
      <c r="B76" t="s">
        <v>242</v>
      </c>
      <c r="C76" s="2" t="s">
        <v>244</v>
      </c>
      <c r="D76" s="24">
        <v>52</v>
      </c>
      <c r="E76" s="3">
        <v>26921</v>
      </c>
      <c r="F76" t="s">
        <v>126</v>
      </c>
      <c r="G76" t="s">
        <v>98</v>
      </c>
      <c r="H76" s="4">
        <v>7300</v>
      </c>
      <c r="I76" s="4">
        <v>74000</v>
      </c>
      <c r="J76" s="5" t="s">
        <v>45</v>
      </c>
      <c r="K76" s="6" t="s">
        <v>80</v>
      </c>
      <c r="L76" t="str" cm="1">
        <f t="array" ref="L76">_xlfn.IFS(K76&gt;=26,"Alto",K76&lt;11,"Baixo",K76&lt;26,"Médio")</f>
        <v>Alto</v>
      </c>
      <c r="M76" t="str">
        <f>IF(AND(Tabela13[[#This Row],[flag_inadimplente]]="Sim",Tabela13[[#This Row],[nivel_risco]]="Alto"),"Negado","Aprovado")</f>
        <v>Aprovado</v>
      </c>
      <c r="N76" t="str">
        <f>IF(AND(Tabela13[[#This Row],[credito_tomado]]&gt;50000,Tabela13[[#This Row],[flag_inadimplente]]="Sim"),"Negado","Aprovado")</f>
        <v>Aprovado</v>
      </c>
      <c r="O76" s="4">
        <f>IF(AND(Tabela13[[#This Row],[analise_risco]]="Negado",Tabela13[[#This Row],[analise_credito]]="Negado"),0,IF(Tabela13[[#This Row],[status]]="Ativo",Tabela13[[#This Row],[valor_solicitado]]*8%,0))</f>
        <v>2760</v>
      </c>
      <c r="P76" s="4">
        <v>34500</v>
      </c>
    </row>
    <row r="77" spans="1:16">
      <c r="A77" t="s">
        <v>71</v>
      </c>
      <c r="B77" t="s">
        <v>245</v>
      </c>
      <c r="C77" s="2" t="s">
        <v>246</v>
      </c>
      <c r="D77" s="24">
        <v>62</v>
      </c>
      <c r="E77" s="3" t="s">
        <v>80</v>
      </c>
      <c r="F77" t="s">
        <v>78</v>
      </c>
      <c r="G77" t="s">
        <v>79</v>
      </c>
      <c r="H77" s="4">
        <v>1900</v>
      </c>
      <c r="I77" s="4">
        <v>3500</v>
      </c>
      <c r="J77" s="5" t="s">
        <v>45</v>
      </c>
      <c r="K77" s="6">
        <v>19</v>
      </c>
      <c r="L77" t="str" cm="1">
        <f t="array" ref="L77">_xlfn.IFS(K77&gt;=26,"Alto",K77&lt;11,"Baixo",K77&lt;26,"Médio")</f>
        <v>Médio</v>
      </c>
      <c r="M77" t="str">
        <f>IF(AND(Tabela13[[#This Row],[flag_inadimplente]]="Sim",Tabela13[[#This Row],[nivel_risco]]="Alto"),"Negado","Aprovado")</f>
        <v>Aprovado</v>
      </c>
      <c r="N77" t="str">
        <f>IF(AND(Tabela13[[#This Row],[credito_tomado]]&gt;50000,Tabela13[[#This Row],[flag_inadimplente]]="Sim"),"Negado","Aprovado")</f>
        <v>Aprovado</v>
      </c>
      <c r="O77" s="4">
        <f>IF(AND(Tabela13[[#This Row],[analise_risco]]="Negado",Tabela13[[#This Row],[analise_credito]]="Negado"),0,IF(Tabela13[[#This Row],[status]]="Ativo",Tabela13[[#This Row],[valor_solicitado]]*8%,0))</f>
        <v>4960</v>
      </c>
      <c r="P77" s="4">
        <v>62000</v>
      </c>
    </row>
    <row r="78" spans="1:16">
      <c r="A78" t="s">
        <v>71</v>
      </c>
      <c r="B78" t="s">
        <v>247</v>
      </c>
      <c r="C78" s="2" t="s">
        <v>248</v>
      </c>
      <c r="D78" s="24">
        <v>25</v>
      </c>
      <c r="E78" s="3">
        <v>37026</v>
      </c>
      <c r="F78" t="s">
        <v>93</v>
      </c>
      <c r="G78" t="s">
        <v>94</v>
      </c>
      <c r="H78" s="4">
        <v>28200</v>
      </c>
      <c r="I78" s="4">
        <v>0</v>
      </c>
      <c r="J78" s="5" t="s">
        <v>45</v>
      </c>
      <c r="K78" s="6">
        <v>29</v>
      </c>
      <c r="L78" t="str" cm="1">
        <f t="array" ref="L78">_xlfn.IFS(K78&gt;=26,"Alto",K78&lt;11,"Baixo",K78&lt;26,"Médio")</f>
        <v>Alto</v>
      </c>
      <c r="M78" t="str">
        <f>IF(AND(Tabela13[[#This Row],[flag_inadimplente]]="Sim",Tabela13[[#This Row],[nivel_risco]]="Alto"),"Negado","Aprovado")</f>
        <v>Aprovado</v>
      </c>
      <c r="N78" t="str">
        <f>IF(AND(Tabela13[[#This Row],[credito_tomado]]&gt;50000,Tabela13[[#This Row],[flag_inadimplente]]="Sim"),"Negado","Aprovado")</f>
        <v>Aprovado</v>
      </c>
      <c r="O78" s="4">
        <f>IF(AND(Tabela13[[#This Row],[analise_risco]]="Negado",Tabela13[[#This Row],[analise_credito]]="Negado"),0,IF(Tabela13[[#This Row],[status]]="Ativo",Tabela13[[#This Row],[valor_solicitado]]*8%,0))</f>
        <v>7400</v>
      </c>
      <c r="P78" s="4">
        <v>92500</v>
      </c>
    </row>
    <row r="79" spans="1:16">
      <c r="A79" t="s">
        <v>85</v>
      </c>
      <c r="B79" t="s">
        <v>249</v>
      </c>
      <c r="C79" s="2" t="s">
        <v>250</v>
      </c>
      <c r="D79" s="24">
        <v>63</v>
      </c>
      <c r="E79" s="3">
        <v>23119</v>
      </c>
      <c r="F79" t="s">
        <v>107</v>
      </c>
      <c r="G79" t="s">
        <v>108</v>
      </c>
      <c r="H79" s="4">
        <v>9300</v>
      </c>
      <c r="I79" s="4">
        <v>48500</v>
      </c>
      <c r="J79" s="5" t="s">
        <v>45</v>
      </c>
      <c r="K79" s="6">
        <v>28</v>
      </c>
      <c r="L79" t="str" cm="1">
        <f t="array" ref="L79">_xlfn.IFS(K79&gt;=26,"Alto",K79&lt;11,"Baixo",K79&lt;26,"Médio")</f>
        <v>Alto</v>
      </c>
      <c r="M79" t="str">
        <f>IF(AND(Tabela13[[#This Row],[flag_inadimplente]]="Sim",Tabela13[[#This Row],[nivel_risco]]="Alto"),"Negado","Aprovado")</f>
        <v>Aprovado</v>
      </c>
      <c r="N79" t="str">
        <f>IF(AND(Tabela13[[#This Row],[credito_tomado]]&gt;50000,Tabela13[[#This Row],[flag_inadimplente]]="Sim"),"Negado","Aprovado")</f>
        <v>Aprovado</v>
      </c>
      <c r="O79" s="4">
        <f>IF(AND(Tabela13[[#This Row],[analise_risco]]="Negado",Tabela13[[#This Row],[analise_credito]]="Negado"),0,IF(Tabela13[[#This Row],[status]]="Ativo",Tabela13[[#This Row],[valor_solicitado]]*8%,0))</f>
        <v>0</v>
      </c>
      <c r="P79" s="4">
        <v>20000</v>
      </c>
    </row>
    <row r="80" spans="1:16">
      <c r="A80" t="s">
        <v>85</v>
      </c>
      <c r="B80" t="s">
        <v>251</v>
      </c>
      <c r="C80" s="2" t="s">
        <v>252</v>
      </c>
      <c r="D80" s="24">
        <v>60</v>
      </c>
      <c r="E80" s="3">
        <v>24091</v>
      </c>
      <c r="F80" t="s">
        <v>139</v>
      </c>
      <c r="G80" t="s">
        <v>140</v>
      </c>
      <c r="H80" s="4">
        <v>10100</v>
      </c>
      <c r="I80" s="4">
        <v>55000</v>
      </c>
      <c r="J80" s="5" t="s">
        <v>45</v>
      </c>
      <c r="K80" s="6">
        <v>26</v>
      </c>
      <c r="L80" t="str" cm="1">
        <f t="array" ref="L80">_xlfn.IFS(K80&gt;=26,"Alto",K80&lt;11,"Baixo",K80&lt;26,"Médio")</f>
        <v>Alto</v>
      </c>
      <c r="M80" t="str">
        <f>IF(AND(Tabela13[[#This Row],[flag_inadimplente]]="Sim",Tabela13[[#This Row],[nivel_risco]]="Alto"),"Negado","Aprovado")</f>
        <v>Aprovado</v>
      </c>
      <c r="N80" t="str">
        <f>IF(AND(Tabela13[[#This Row],[credito_tomado]]&gt;50000,Tabela13[[#This Row],[flag_inadimplente]]="Sim"),"Negado","Aprovado")</f>
        <v>Aprovado</v>
      </c>
      <c r="O80" s="4">
        <f>IF(AND(Tabela13[[#This Row],[analise_risco]]="Negado",Tabela13[[#This Row],[analise_credito]]="Negado"),0,IF(Tabela13[[#This Row],[status]]="Ativo",Tabela13[[#This Row],[valor_solicitado]]*8%,0))</f>
        <v>0</v>
      </c>
      <c r="P80" s="4">
        <v>54000</v>
      </c>
    </row>
    <row r="81" spans="1:16">
      <c r="A81" t="s">
        <v>71</v>
      </c>
      <c r="B81" t="s">
        <v>253</v>
      </c>
      <c r="C81" s="2" t="s">
        <v>254</v>
      </c>
      <c r="D81" s="24">
        <v>33</v>
      </c>
      <c r="E81" s="3">
        <v>33881</v>
      </c>
      <c r="F81" t="s">
        <v>97</v>
      </c>
      <c r="G81" t="s">
        <v>98</v>
      </c>
      <c r="H81" s="4">
        <v>29700</v>
      </c>
      <c r="I81" s="4">
        <v>22000</v>
      </c>
      <c r="J81" s="5" t="s">
        <v>45</v>
      </c>
      <c r="K81" s="6">
        <v>38</v>
      </c>
      <c r="L81" t="str" cm="1">
        <f t="array" ref="L81">_xlfn.IFS(K81&gt;=26,"Alto",K81&lt;11,"Baixo",K81&lt;26,"Médio")</f>
        <v>Alto</v>
      </c>
      <c r="M81" t="str">
        <f>IF(AND(Tabela13[[#This Row],[flag_inadimplente]]="Sim",Tabela13[[#This Row],[nivel_risco]]="Alto"),"Negado","Aprovado")</f>
        <v>Aprovado</v>
      </c>
      <c r="N81" t="str">
        <f>IF(AND(Tabela13[[#This Row],[credito_tomado]]&gt;50000,Tabela13[[#This Row],[flag_inadimplente]]="Sim"),"Negado","Aprovado")</f>
        <v>Aprovado</v>
      </c>
      <c r="O81" s="4">
        <f>IF(AND(Tabela13[[#This Row],[analise_risco]]="Negado",Tabela13[[#This Row],[analise_credito]]="Negado"),0,IF(Tabela13[[#This Row],[status]]="Ativo",Tabela13[[#This Row],[valor_solicitado]]*8%,0))</f>
        <v>6480</v>
      </c>
      <c r="P81" s="4">
        <v>81000</v>
      </c>
    </row>
    <row r="82" spans="1:16">
      <c r="A82" t="s">
        <v>85</v>
      </c>
      <c r="B82" t="s">
        <v>255</v>
      </c>
      <c r="C82" s="2" t="s">
        <v>256</v>
      </c>
      <c r="D82" s="24" t="s">
        <v>257</v>
      </c>
      <c r="E82" s="3">
        <v>29113</v>
      </c>
      <c r="F82" t="s">
        <v>147</v>
      </c>
      <c r="G82" t="s">
        <v>98</v>
      </c>
      <c r="H82" s="4">
        <v>15000</v>
      </c>
      <c r="I82" s="4">
        <v>32500</v>
      </c>
      <c r="J82" s="5" t="s">
        <v>45</v>
      </c>
      <c r="K82" s="6">
        <v>40</v>
      </c>
      <c r="L82" t="str" cm="1">
        <f t="array" ref="L82">_xlfn.IFS(K82&gt;=26,"Alto",K82&lt;11,"Baixo",K82&lt;26,"Médio")</f>
        <v>Alto</v>
      </c>
      <c r="M82" t="str">
        <f>IF(AND(Tabela13[[#This Row],[flag_inadimplente]]="Sim",Tabela13[[#This Row],[nivel_risco]]="Alto"),"Negado","Aprovado")</f>
        <v>Aprovado</v>
      </c>
      <c r="N82" t="str">
        <f>IF(AND(Tabela13[[#This Row],[credito_tomado]]&gt;50000,Tabela13[[#This Row],[flag_inadimplente]]="Sim"),"Negado","Aprovado")</f>
        <v>Aprovado</v>
      </c>
      <c r="O82" s="4">
        <f>IF(AND(Tabela13[[#This Row],[analise_risco]]="Negado",Tabela13[[#This Row],[analise_credito]]="Negado"),0,IF(Tabela13[[#This Row],[status]]="Ativo",Tabela13[[#This Row],[valor_solicitado]]*8%,0))</f>
        <v>0</v>
      </c>
      <c r="P82" s="4">
        <v>4500</v>
      </c>
    </row>
    <row r="83" spans="1:16">
      <c r="A83" t="s">
        <v>85</v>
      </c>
      <c r="B83" t="s">
        <v>255</v>
      </c>
      <c r="C83" s="2" t="s">
        <v>256</v>
      </c>
      <c r="D83" s="24" t="s">
        <v>257</v>
      </c>
      <c r="E83" s="3">
        <v>29113</v>
      </c>
      <c r="F83" t="s">
        <v>147</v>
      </c>
      <c r="G83" t="s">
        <v>98</v>
      </c>
      <c r="H83" s="4">
        <v>15000</v>
      </c>
      <c r="I83" s="4">
        <v>0</v>
      </c>
      <c r="J83" s="5" t="s">
        <v>45</v>
      </c>
      <c r="K83" s="6">
        <v>40</v>
      </c>
      <c r="L83" t="str" cm="1">
        <f t="array" ref="L83">_xlfn.IFS(K83&gt;=26,"Alto",K83&lt;11,"Baixo",K83&lt;26,"Médio")</f>
        <v>Alto</v>
      </c>
      <c r="M83" t="str">
        <f>IF(AND(Tabela13[[#This Row],[flag_inadimplente]]="Sim",Tabela13[[#This Row],[nivel_risco]]="Alto"),"Negado","Aprovado")</f>
        <v>Aprovado</v>
      </c>
      <c r="N83" t="str">
        <f>IF(AND(Tabela13[[#This Row],[credito_tomado]]&gt;50000,Tabela13[[#This Row],[flag_inadimplente]]="Sim"),"Negado","Aprovado")</f>
        <v>Aprovado</v>
      </c>
      <c r="O83" s="4">
        <f>IF(AND(Tabela13[[#This Row],[analise_risco]]="Negado",Tabela13[[#This Row],[analise_credito]]="Negado"),0,IF(Tabela13[[#This Row],[status]]="Ativo",Tabela13[[#This Row],[valor_solicitado]]*8%,0))</f>
        <v>0</v>
      </c>
      <c r="P83" s="4">
        <v>90500</v>
      </c>
    </row>
    <row r="84" spans="1:16">
      <c r="A84" t="s">
        <v>71</v>
      </c>
      <c r="B84" t="s">
        <v>258</v>
      </c>
      <c r="C84" s="2" t="s">
        <v>259</v>
      </c>
      <c r="D84" s="24">
        <v>32</v>
      </c>
      <c r="E84" s="3">
        <v>34508</v>
      </c>
      <c r="F84" t="s">
        <v>90</v>
      </c>
      <c r="G84" t="s">
        <v>90</v>
      </c>
      <c r="H84" s="4">
        <v>9800</v>
      </c>
      <c r="I84" s="4">
        <v>0</v>
      </c>
      <c r="J84" s="5" t="s">
        <v>45</v>
      </c>
      <c r="K84" s="6">
        <v>23</v>
      </c>
      <c r="L84" t="str" cm="1">
        <f t="array" ref="L84">_xlfn.IFS(K84&gt;=26,"Alto",K84&lt;11,"Baixo",K84&lt;26,"Médio")</f>
        <v>Médio</v>
      </c>
      <c r="M84" t="str">
        <f>IF(AND(Tabela13[[#This Row],[flag_inadimplente]]="Sim",Tabela13[[#This Row],[nivel_risco]]="Alto"),"Negado","Aprovado")</f>
        <v>Aprovado</v>
      </c>
      <c r="N84" t="str">
        <f>IF(AND(Tabela13[[#This Row],[credito_tomado]]&gt;50000,Tabela13[[#This Row],[flag_inadimplente]]="Sim"),"Negado","Aprovado")</f>
        <v>Aprovado</v>
      </c>
      <c r="O84" s="4">
        <f>IF(AND(Tabela13[[#This Row],[analise_risco]]="Negado",Tabela13[[#This Row],[analise_credito]]="Negado"),0,IF(Tabela13[[#This Row],[status]]="Ativo",Tabela13[[#This Row],[valor_solicitado]]*8%,0))</f>
        <v>5440</v>
      </c>
      <c r="P84" s="4">
        <v>68000</v>
      </c>
    </row>
    <row r="85" spans="1:16">
      <c r="A85" t="s">
        <v>71</v>
      </c>
      <c r="B85" t="s">
        <v>260</v>
      </c>
      <c r="C85" s="2" t="s">
        <v>261</v>
      </c>
      <c r="D85" s="24">
        <v>51</v>
      </c>
      <c r="E85" s="3">
        <v>27377</v>
      </c>
      <c r="F85" t="s">
        <v>101</v>
      </c>
      <c r="G85" t="s">
        <v>102</v>
      </c>
      <c r="H85" s="4">
        <v>16300</v>
      </c>
      <c r="I85" s="8" t="s">
        <v>80</v>
      </c>
      <c r="J85" s="5" t="s">
        <v>45</v>
      </c>
      <c r="K85" s="6">
        <v>8</v>
      </c>
      <c r="L85" t="str" cm="1">
        <f t="array" ref="L85">_xlfn.IFS(K85&gt;=26,"Alto",K85&lt;11,"Baixo",K85&lt;26,"Médio")</f>
        <v>Baixo</v>
      </c>
      <c r="M85" t="str">
        <f>IF(AND(Tabela13[[#This Row],[flag_inadimplente]]="Sim",Tabela13[[#This Row],[nivel_risco]]="Alto"),"Negado","Aprovado")</f>
        <v>Aprovado</v>
      </c>
      <c r="N85" t="str">
        <f>IF(AND(Tabela13[[#This Row],[credito_tomado]]&gt;50000,Tabela13[[#This Row],[flag_inadimplente]]="Sim"),"Negado","Aprovado")</f>
        <v>Aprovado</v>
      </c>
      <c r="O85" s="4">
        <f>IF(AND(Tabela13[[#This Row],[analise_risco]]="Negado",Tabela13[[#This Row],[analise_credito]]="Negado"),0,IF(Tabela13[[#This Row],[status]]="Ativo",Tabela13[[#This Row],[valor_solicitado]]*8%,0))</f>
        <v>2640</v>
      </c>
      <c r="P85" s="4">
        <v>33000</v>
      </c>
    </row>
    <row r="86" spans="1:16">
      <c r="A86" t="s">
        <v>71</v>
      </c>
      <c r="B86" t="s">
        <v>262</v>
      </c>
      <c r="C86" s="2" t="s">
        <v>263</v>
      </c>
      <c r="D86" s="24">
        <v>54</v>
      </c>
      <c r="E86" s="3">
        <v>26213</v>
      </c>
      <c r="F86" t="s">
        <v>149</v>
      </c>
      <c r="G86" t="s">
        <v>79</v>
      </c>
      <c r="H86" s="4">
        <v>29700</v>
      </c>
      <c r="I86" s="4">
        <v>34000</v>
      </c>
      <c r="J86" s="5" t="s">
        <v>45</v>
      </c>
      <c r="K86" s="6">
        <v>35</v>
      </c>
      <c r="L86" t="str" cm="1">
        <f t="array" ref="L86">_xlfn.IFS(K86&gt;=26,"Alto",K86&lt;11,"Baixo",K86&lt;26,"Médio")</f>
        <v>Alto</v>
      </c>
      <c r="M86" t="str">
        <f>IF(AND(Tabela13[[#This Row],[flag_inadimplente]]="Sim",Tabela13[[#This Row],[nivel_risco]]="Alto"),"Negado","Aprovado")</f>
        <v>Aprovado</v>
      </c>
      <c r="N86" t="str">
        <f>IF(AND(Tabela13[[#This Row],[credito_tomado]]&gt;50000,Tabela13[[#This Row],[flag_inadimplente]]="Sim"),"Negado","Aprovado")</f>
        <v>Aprovado</v>
      </c>
      <c r="O86" s="4">
        <f>IF(AND(Tabela13[[#This Row],[analise_risco]]="Negado",Tabela13[[#This Row],[analise_credito]]="Negado"),0,IF(Tabela13[[#This Row],[status]]="Ativo",Tabela13[[#This Row],[valor_solicitado]]*8%,0))</f>
        <v>2800</v>
      </c>
      <c r="P86" s="4">
        <v>35000</v>
      </c>
    </row>
    <row r="87" spans="1:16">
      <c r="A87" t="s">
        <v>71</v>
      </c>
      <c r="B87" t="s">
        <v>264</v>
      </c>
      <c r="C87" s="2" t="s">
        <v>265</v>
      </c>
      <c r="D87" s="24">
        <v>48</v>
      </c>
      <c r="E87" s="3">
        <v>28681</v>
      </c>
      <c r="F87" t="s">
        <v>90</v>
      </c>
      <c r="G87" t="s">
        <v>90</v>
      </c>
      <c r="H87" s="4">
        <v>15800</v>
      </c>
      <c r="I87" s="8" t="s">
        <v>80</v>
      </c>
      <c r="J87" s="5" t="s">
        <v>45</v>
      </c>
      <c r="K87" s="6">
        <v>12</v>
      </c>
      <c r="L87" t="str" cm="1">
        <f t="array" ref="L87">_xlfn.IFS(K87&gt;=26,"Alto",K87&lt;11,"Baixo",K87&lt;26,"Médio")</f>
        <v>Médio</v>
      </c>
      <c r="M87" t="str">
        <f>IF(AND(Tabela13[[#This Row],[flag_inadimplente]]="Sim",Tabela13[[#This Row],[nivel_risco]]="Alto"),"Negado","Aprovado")</f>
        <v>Aprovado</v>
      </c>
      <c r="N87" t="str">
        <f>IF(AND(Tabela13[[#This Row],[credito_tomado]]&gt;50000,Tabela13[[#This Row],[flag_inadimplente]]="Sim"),"Negado","Aprovado")</f>
        <v>Aprovado</v>
      </c>
      <c r="O87" s="4">
        <f>IF(AND(Tabela13[[#This Row],[analise_risco]]="Negado",Tabela13[[#This Row],[analise_credito]]="Negado"),0,IF(Tabela13[[#This Row],[status]]="Ativo",Tabela13[[#This Row],[valor_solicitado]]*8%,0))</f>
        <v>5560</v>
      </c>
      <c r="P87" s="4">
        <v>69500</v>
      </c>
    </row>
    <row r="88" spans="1:16">
      <c r="A88" t="s">
        <v>71</v>
      </c>
      <c r="B88" t="s">
        <v>266</v>
      </c>
      <c r="C88" s="2" t="s">
        <v>267</v>
      </c>
      <c r="D88" s="24">
        <v>37</v>
      </c>
      <c r="E88" s="3">
        <v>32543</v>
      </c>
      <c r="F88" t="s">
        <v>149</v>
      </c>
      <c r="G88" t="s">
        <v>79</v>
      </c>
      <c r="H88" s="4">
        <v>29200</v>
      </c>
      <c r="I88" s="4">
        <v>45000</v>
      </c>
      <c r="J88" s="5" t="s">
        <v>45</v>
      </c>
      <c r="K88" s="6">
        <v>26</v>
      </c>
      <c r="L88" t="str" cm="1">
        <f t="array" ref="L88">_xlfn.IFS(K88&gt;=26,"Alto",K88&lt;11,"Baixo",K88&lt;26,"Médio")</f>
        <v>Alto</v>
      </c>
      <c r="M88" t="str">
        <f>IF(AND(Tabela13[[#This Row],[flag_inadimplente]]="Sim",Tabela13[[#This Row],[nivel_risco]]="Alto"),"Negado","Aprovado")</f>
        <v>Aprovado</v>
      </c>
      <c r="N88" t="str">
        <f>IF(AND(Tabela13[[#This Row],[credito_tomado]]&gt;50000,Tabela13[[#This Row],[flag_inadimplente]]="Sim"),"Negado","Aprovado")</f>
        <v>Aprovado</v>
      </c>
      <c r="O88" s="4">
        <f>IF(AND(Tabela13[[#This Row],[analise_risco]]="Negado",Tabela13[[#This Row],[analise_credito]]="Negado"),0,IF(Tabela13[[#This Row],[status]]="Ativo",Tabela13[[#This Row],[valor_solicitado]]*8%,0))</f>
        <v>1880</v>
      </c>
      <c r="P88" s="4">
        <v>23500</v>
      </c>
    </row>
    <row r="89" spans="1:16">
      <c r="A89" t="s">
        <v>71</v>
      </c>
      <c r="B89" t="s">
        <v>266</v>
      </c>
      <c r="C89" s="2" t="s">
        <v>267</v>
      </c>
      <c r="D89" s="24">
        <v>37</v>
      </c>
      <c r="E89" s="3">
        <v>32543</v>
      </c>
      <c r="F89" t="s">
        <v>149</v>
      </c>
      <c r="G89" t="s">
        <v>79</v>
      </c>
      <c r="H89" s="4">
        <v>29200</v>
      </c>
      <c r="I89" s="4">
        <v>45000</v>
      </c>
      <c r="J89" s="5" t="s">
        <v>45</v>
      </c>
      <c r="K89" s="6">
        <v>26</v>
      </c>
      <c r="L89" t="str" cm="1">
        <f t="array" ref="L89">_xlfn.IFS(K89&gt;=26,"Alto",K89&lt;11,"Baixo",K89&lt;26,"Médio")</f>
        <v>Alto</v>
      </c>
      <c r="M89" t="str">
        <f>IF(AND(Tabela13[[#This Row],[flag_inadimplente]]="Sim",Tabela13[[#This Row],[nivel_risco]]="Alto"),"Negado","Aprovado")</f>
        <v>Aprovado</v>
      </c>
      <c r="N89" t="str">
        <f>IF(AND(Tabela13[[#This Row],[credito_tomado]]&gt;50000,Tabela13[[#This Row],[flag_inadimplente]]="Sim"),"Negado","Aprovado")</f>
        <v>Aprovado</v>
      </c>
      <c r="O89" s="4">
        <f>IF(AND(Tabela13[[#This Row],[analise_risco]]="Negado",Tabela13[[#This Row],[analise_credito]]="Negado"),0,IF(Tabela13[[#This Row],[status]]="Ativo",Tabela13[[#This Row],[valor_solicitado]]*8%,0))</f>
        <v>6240</v>
      </c>
      <c r="P89" s="4">
        <v>78000</v>
      </c>
    </row>
    <row r="90" spans="1:16">
      <c r="A90" t="s">
        <v>71</v>
      </c>
      <c r="B90" t="s">
        <v>268</v>
      </c>
      <c r="C90" s="2" t="s">
        <v>269</v>
      </c>
      <c r="D90" s="24" t="s">
        <v>80</v>
      </c>
      <c r="E90" s="3">
        <v>36337</v>
      </c>
      <c r="F90" t="s">
        <v>270</v>
      </c>
      <c r="G90" t="s">
        <v>98</v>
      </c>
      <c r="H90" s="4">
        <v>22500</v>
      </c>
      <c r="I90" s="4">
        <v>55500</v>
      </c>
      <c r="J90" s="5" t="s">
        <v>45</v>
      </c>
      <c r="K90" s="6">
        <v>32</v>
      </c>
      <c r="L90" t="str" cm="1">
        <f t="array" ref="L90">_xlfn.IFS(K90&gt;=26,"Alto",K90&lt;11,"Baixo",K90&lt;26,"Médio")</f>
        <v>Alto</v>
      </c>
      <c r="M90" t="str">
        <f>IF(AND(Tabela13[[#This Row],[flag_inadimplente]]="Sim",Tabela13[[#This Row],[nivel_risco]]="Alto"),"Negado","Aprovado")</f>
        <v>Aprovado</v>
      </c>
      <c r="N90" t="str">
        <f>IF(AND(Tabela13[[#This Row],[credito_tomado]]&gt;50000,Tabela13[[#This Row],[flag_inadimplente]]="Sim"),"Negado","Aprovado")</f>
        <v>Aprovado</v>
      </c>
      <c r="O90" s="4">
        <f>IF(AND(Tabela13[[#This Row],[analise_risco]]="Negado",Tabela13[[#This Row],[analise_credito]]="Negado"),0,IF(Tabela13[[#This Row],[status]]="Ativo",Tabela13[[#This Row],[valor_solicitado]]*8%,0))</f>
        <v>7320</v>
      </c>
      <c r="P90" s="4">
        <v>91500</v>
      </c>
    </row>
    <row r="91" spans="1:16">
      <c r="A91" t="s">
        <v>71</v>
      </c>
      <c r="B91" t="s">
        <v>271</v>
      </c>
      <c r="C91" s="2" t="s">
        <v>272</v>
      </c>
      <c r="D91" s="24">
        <v>57</v>
      </c>
      <c r="E91" s="3" t="s">
        <v>80</v>
      </c>
      <c r="F91" t="s">
        <v>139</v>
      </c>
      <c r="G91" t="s">
        <v>140</v>
      </c>
      <c r="H91" s="4">
        <v>0</v>
      </c>
      <c r="I91" s="8" t="s">
        <v>80</v>
      </c>
      <c r="J91" s="5" t="s">
        <v>46</v>
      </c>
      <c r="K91" s="6">
        <v>28</v>
      </c>
      <c r="L91" t="str" cm="1">
        <f t="array" ref="L91">_xlfn.IFS(K91&gt;=26,"Alto",K91&lt;11,"Baixo",K91&lt;26,"Médio")</f>
        <v>Alto</v>
      </c>
      <c r="M91" t="str">
        <f>IF(AND(Tabela13[[#This Row],[flag_inadimplente]]="Sim",Tabela13[[#This Row],[nivel_risco]]="Alto"),"Negado","Aprovado")</f>
        <v>Negado</v>
      </c>
      <c r="N91" t="str">
        <f>IF(AND(Tabela13[[#This Row],[credito_tomado]]&gt;50000,Tabela13[[#This Row],[flag_inadimplente]]="Sim"),"Negado","Aprovado")</f>
        <v>Negado</v>
      </c>
      <c r="O91" s="4">
        <f>IF(AND(Tabela13[[#This Row],[analise_risco]]="Negado",Tabela13[[#This Row],[analise_credito]]="Negado"),0,IF(Tabela13[[#This Row],[status]]="Ativo",Tabela13[[#This Row],[valor_solicitado]]*8%,0))</f>
        <v>0</v>
      </c>
      <c r="P91" s="4">
        <v>13000</v>
      </c>
    </row>
    <row r="92" spans="1:16">
      <c r="A92" t="s">
        <v>85</v>
      </c>
      <c r="B92" t="s">
        <v>271</v>
      </c>
      <c r="C92" s="2" t="s">
        <v>273</v>
      </c>
      <c r="D92" s="24">
        <v>65</v>
      </c>
      <c r="E92" s="3">
        <v>22275</v>
      </c>
      <c r="F92" t="s">
        <v>107</v>
      </c>
      <c r="G92" t="s">
        <v>108</v>
      </c>
      <c r="H92" s="4">
        <v>3300</v>
      </c>
      <c r="I92" s="4">
        <v>43500</v>
      </c>
      <c r="J92" s="5" t="s">
        <v>45</v>
      </c>
      <c r="K92" s="6">
        <v>27</v>
      </c>
      <c r="L92" t="str" cm="1">
        <f t="array" ref="L92">_xlfn.IFS(K92&gt;=26,"Alto",K92&lt;11,"Baixo",K92&lt;26,"Médio")</f>
        <v>Alto</v>
      </c>
      <c r="M92" t="str">
        <f>IF(AND(Tabela13[[#This Row],[flag_inadimplente]]="Sim",Tabela13[[#This Row],[nivel_risco]]="Alto"),"Negado","Aprovado")</f>
        <v>Aprovado</v>
      </c>
      <c r="N92" t="str">
        <f>IF(AND(Tabela13[[#This Row],[credito_tomado]]&gt;50000,Tabela13[[#This Row],[flag_inadimplente]]="Sim"),"Negado","Aprovado")</f>
        <v>Aprovado</v>
      </c>
      <c r="O92" s="4">
        <f>IF(AND(Tabela13[[#This Row],[analise_risco]]="Negado",Tabela13[[#This Row],[analise_credito]]="Negado"),0,IF(Tabela13[[#This Row],[status]]="Ativo",Tabela13[[#This Row],[valor_solicitado]]*8%,0))</f>
        <v>0</v>
      </c>
      <c r="P92" s="4">
        <v>23500</v>
      </c>
    </row>
    <row r="93" spans="1:16">
      <c r="A93" t="s">
        <v>85</v>
      </c>
      <c r="B93" t="s">
        <v>274</v>
      </c>
      <c r="C93" s="2" t="s">
        <v>275</v>
      </c>
      <c r="D93" s="24">
        <v>74</v>
      </c>
      <c r="E93" s="3">
        <v>19047</v>
      </c>
      <c r="F93" t="s">
        <v>139</v>
      </c>
      <c r="G93" t="s">
        <v>140</v>
      </c>
      <c r="H93" s="4">
        <v>24000</v>
      </c>
      <c r="I93" s="4">
        <v>35000</v>
      </c>
      <c r="J93" s="5" t="s">
        <v>45</v>
      </c>
      <c r="K93" s="6">
        <v>6</v>
      </c>
      <c r="L93" t="str" cm="1">
        <f t="array" ref="L93">_xlfn.IFS(K93&gt;=26,"Alto",K93&lt;11,"Baixo",K93&lt;26,"Médio")</f>
        <v>Baixo</v>
      </c>
      <c r="M93" t="str">
        <f>IF(AND(Tabela13[[#This Row],[flag_inadimplente]]="Sim",Tabela13[[#This Row],[nivel_risco]]="Alto"),"Negado","Aprovado")</f>
        <v>Aprovado</v>
      </c>
      <c r="N93" t="str">
        <f>IF(AND(Tabela13[[#This Row],[credito_tomado]]&gt;50000,Tabela13[[#This Row],[flag_inadimplente]]="Sim"),"Negado","Aprovado")</f>
        <v>Aprovado</v>
      </c>
      <c r="O93" s="4">
        <f>IF(AND(Tabela13[[#This Row],[analise_risco]]="Negado",Tabela13[[#This Row],[analise_credito]]="Negado"),0,IF(Tabela13[[#This Row],[status]]="Ativo",Tabela13[[#This Row],[valor_solicitado]]*8%,0))</f>
        <v>0</v>
      </c>
      <c r="P93" s="4">
        <v>29500</v>
      </c>
    </row>
    <row r="94" spans="1:16">
      <c r="A94" t="s">
        <v>85</v>
      </c>
      <c r="B94" t="s">
        <v>276</v>
      </c>
      <c r="C94" s="2" t="s">
        <v>277</v>
      </c>
      <c r="D94" s="24">
        <v>43</v>
      </c>
      <c r="E94" s="3">
        <v>30391</v>
      </c>
      <c r="F94" t="s">
        <v>97</v>
      </c>
      <c r="G94" t="s">
        <v>98</v>
      </c>
      <c r="H94" s="4">
        <v>7100</v>
      </c>
      <c r="I94" s="4">
        <v>5500</v>
      </c>
      <c r="J94" s="5" t="s">
        <v>45</v>
      </c>
      <c r="K94" s="6">
        <v>23</v>
      </c>
      <c r="L94" t="str" cm="1">
        <f t="array" ref="L94">_xlfn.IFS(K94&gt;=26,"Alto",K94&lt;11,"Baixo",K94&lt;26,"Médio")</f>
        <v>Médio</v>
      </c>
      <c r="M94" t="str">
        <f>IF(AND(Tabela13[[#This Row],[flag_inadimplente]]="Sim",Tabela13[[#This Row],[nivel_risco]]="Alto"),"Negado","Aprovado")</f>
        <v>Aprovado</v>
      </c>
      <c r="N94" t="str">
        <f>IF(AND(Tabela13[[#This Row],[credito_tomado]]&gt;50000,Tabela13[[#This Row],[flag_inadimplente]]="Sim"),"Negado","Aprovado")</f>
        <v>Aprovado</v>
      </c>
      <c r="O94" s="4">
        <f>IF(AND(Tabela13[[#This Row],[analise_risco]]="Negado",Tabela13[[#This Row],[analise_credito]]="Negado"),0,IF(Tabela13[[#This Row],[status]]="Ativo",Tabela13[[#This Row],[valor_solicitado]]*8%,0))</f>
        <v>0</v>
      </c>
      <c r="P94" s="4">
        <v>67000</v>
      </c>
    </row>
    <row r="95" spans="1:16">
      <c r="A95" t="s">
        <v>85</v>
      </c>
      <c r="B95" t="s">
        <v>278</v>
      </c>
      <c r="C95" s="2" t="s">
        <v>279</v>
      </c>
      <c r="D95" s="24">
        <v>31</v>
      </c>
      <c r="E95" s="3">
        <v>34746</v>
      </c>
      <c r="F95" t="s">
        <v>115</v>
      </c>
      <c r="G95" t="s">
        <v>75</v>
      </c>
      <c r="H95" s="4">
        <v>18200</v>
      </c>
      <c r="I95" s="4">
        <v>78500</v>
      </c>
      <c r="J95" s="5" t="s">
        <v>45</v>
      </c>
      <c r="K95" s="6">
        <v>9</v>
      </c>
      <c r="L95" t="str" cm="1">
        <f t="array" ref="L95">_xlfn.IFS(K95&gt;=26,"Alto",K95&lt;11,"Baixo",K95&lt;26,"Médio")</f>
        <v>Baixo</v>
      </c>
      <c r="M95" t="str">
        <f>IF(AND(Tabela13[[#This Row],[flag_inadimplente]]="Sim",Tabela13[[#This Row],[nivel_risco]]="Alto"),"Negado","Aprovado")</f>
        <v>Aprovado</v>
      </c>
      <c r="N95" t="str">
        <f>IF(AND(Tabela13[[#This Row],[credito_tomado]]&gt;50000,Tabela13[[#This Row],[flag_inadimplente]]="Sim"),"Negado","Aprovado")</f>
        <v>Aprovado</v>
      </c>
      <c r="O95" s="4">
        <f>IF(AND(Tabela13[[#This Row],[analise_risco]]="Negado",Tabela13[[#This Row],[analise_credito]]="Negado"),0,IF(Tabela13[[#This Row],[status]]="Ativo",Tabela13[[#This Row],[valor_solicitado]]*8%,0))</f>
        <v>0</v>
      </c>
      <c r="P95" s="4">
        <v>73000</v>
      </c>
    </row>
    <row r="96" spans="1:16">
      <c r="A96" t="s">
        <v>85</v>
      </c>
      <c r="B96" t="s">
        <v>280</v>
      </c>
      <c r="C96" s="2" t="s">
        <v>281</v>
      </c>
      <c r="D96" s="24">
        <v>55</v>
      </c>
      <c r="E96" s="3">
        <v>25848</v>
      </c>
      <c r="F96" t="s">
        <v>74</v>
      </c>
      <c r="G96" t="s">
        <v>75</v>
      </c>
      <c r="H96" s="4" t="s">
        <v>80</v>
      </c>
      <c r="I96" s="4">
        <v>5000</v>
      </c>
      <c r="J96" s="5" t="s">
        <v>45</v>
      </c>
      <c r="K96" s="6">
        <v>8</v>
      </c>
      <c r="L96" t="str" cm="1">
        <f t="array" ref="L96">_xlfn.IFS(K96&gt;=26,"Alto",K96&lt;11,"Baixo",K96&lt;26,"Médio")</f>
        <v>Baixo</v>
      </c>
      <c r="M96" t="str">
        <f>IF(AND(Tabela13[[#This Row],[flag_inadimplente]]="Sim",Tabela13[[#This Row],[nivel_risco]]="Alto"),"Negado","Aprovado")</f>
        <v>Aprovado</v>
      </c>
      <c r="N96" t="str">
        <f>IF(AND(Tabela13[[#This Row],[credito_tomado]]&gt;50000,Tabela13[[#This Row],[flag_inadimplente]]="Sim"),"Negado","Aprovado")</f>
        <v>Aprovado</v>
      </c>
      <c r="O96" s="4">
        <f>IF(AND(Tabela13[[#This Row],[analise_risco]]="Negado",Tabela13[[#This Row],[analise_credito]]="Negado"),0,IF(Tabela13[[#This Row],[status]]="Ativo",Tabela13[[#This Row],[valor_solicitado]]*8%,0))</f>
        <v>0</v>
      </c>
      <c r="P96" s="4">
        <v>11000</v>
      </c>
    </row>
    <row r="97" spans="1:16">
      <c r="A97" t="s">
        <v>71</v>
      </c>
      <c r="B97" t="s">
        <v>282</v>
      </c>
      <c r="C97" s="2" t="s">
        <v>283</v>
      </c>
      <c r="D97" s="24">
        <v>47</v>
      </c>
      <c r="E97" s="3">
        <v>28802</v>
      </c>
      <c r="F97" t="s">
        <v>188</v>
      </c>
      <c r="G97" t="s">
        <v>195</v>
      </c>
      <c r="H97" s="4">
        <v>22700</v>
      </c>
      <c r="I97" s="4">
        <v>8500</v>
      </c>
      <c r="J97" s="5" t="s">
        <v>211</v>
      </c>
      <c r="K97" s="6">
        <v>35</v>
      </c>
      <c r="L97" t="str" cm="1">
        <f t="array" ref="L97">_xlfn.IFS(K97&gt;=26,"Alto",K97&lt;11,"Baixo",K97&lt;26,"Médio")</f>
        <v>Alto</v>
      </c>
      <c r="M97" t="str">
        <f>IF(AND(Tabela13[[#This Row],[flag_inadimplente]]="Sim",Tabela13[[#This Row],[nivel_risco]]="Alto"),"Negado","Aprovado")</f>
        <v>Aprovado</v>
      </c>
      <c r="N97" t="str">
        <f>IF(AND(Tabela13[[#This Row],[credito_tomado]]&gt;50000,Tabela13[[#This Row],[flag_inadimplente]]="Sim"),"Negado","Aprovado")</f>
        <v>Aprovado</v>
      </c>
      <c r="O97" s="4">
        <f>IF(AND(Tabela13[[#This Row],[analise_risco]]="Negado",Tabela13[[#This Row],[analise_credito]]="Negado"),0,IF(Tabela13[[#This Row],[status]]="Ativo",Tabela13[[#This Row],[valor_solicitado]]*8%,0))</f>
        <v>1880</v>
      </c>
      <c r="P97" s="4">
        <v>23500</v>
      </c>
    </row>
    <row r="98" spans="1:16">
      <c r="A98" t="s">
        <v>71</v>
      </c>
      <c r="B98" t="s">
        <v>284</v>
      </c>
      <c r="C98" s="2" t="s">
        <v>285</v>
      </c>
      <c r="D98" s="24">
        <v>26</v>
      </c>
      <c r="E98" s="3">
        <v>36411</v>
      </c>
      <c r="F98" t="s">
        <v>83</v>
      </c>
      <c r="G98" t="s">
        <v>84</v>
      </c>
      <c r="H98" s="4">
        <v>9200</v>
      </c>
      <c r="I98" s="4">
        <v>68500</v>
      </c>
      <c r="J98" s="5" t="s">
        <v>45</v>
      </c>
      <c r="K98" s="6">
        <v>27</v>
      </c>
      <c r="L98" t="str" cm="1">
        <f t="array" ref="L98">_xlfn.IFS(K98&gt;=26,"Alto",K98&lt;11,"Baixo",K98&lt;26,"Médio")</f>
        <v>Alto</v>
      </c>
      <c r="M98" t="str">
        <f>IF(AND(Tabela13[[#This Row],[flag_inadimplente]]="Sim",Tabela13[[#This Row],[nivel_risco]]="Alto"),"Negado","Aprovado")</f>
        <v>Aprovado</v>
      </c>
      <c r="N98" t="str">
        <f>IF(AND(Tabela13[[#This Row],[credito_tomado]]&gt;50000,Tabela13[[#This Row],[flag_inadimplente]]="Sim"),"Negado","Aprovado")</f>
        <v>Aprovado</v>
      </c>
      <c r="O98" s="4">
        <f>IF(AND(Tabela13[[#This Row],[analise_risco]]="Negado",Tabela13[[#This Row],[analise_credito]]="Negado"),0,IF(Tabela13[[#This Row],[status]]="Ativo",Tabela13[[#This Row],[valor_solicitado]]*8%,0))</f>
        <v>560</v>
      </c>
      <c r="P98" s="4">
        <v>7000</v>
      </c>
    </row>
    <row r="99" spans="1:16">
      <c r="A99" t="s">
        <v>71</v>
      </c>
      <c r="B99" t="s">
        <v>286</v>
      </c>
      <c r="C99" s="2" t="s">
        <v>287</v>
      </c>
      <c r="D99" s="24">
        <v>73</v>
      </c>
      <c r="E99" s="3">
        <v>19314</v>
      </c>
      <c r="F99" t="s">
        <v>122</v>
      </c>
      <c r="G99" t="s">
        <v>123</v>
      </c>
      <c r="H99" s="4">
        <v>6100</v>
      </c>
      <c r="I99" s="4">
        <v>16000</v>
      </c>
      <c r="J99" s="5" t="s">
        <v>45</v>
      </c>
      <c r="K99" s="6">
        <v>9</v>
      </c>
      <c r="L99" t="str" cm="1">
        <f t="array" ref="L99">_xlfn.IFS(K99&gt;=26,"Alto",K99&lt;11,"Baixo",K99&lt;26,"Médio")</f>
        <v>Baixo</v>
      </c>
      <c r="M99" t="str">
        <f>IF(AND(Tabela13[[#This Row],[flag_inadimplente]]="Sim",Tabela13[[#This Row],[nivel_risco]]="Alto"),"Negado","Aprovado")</f>
        <v>Aprovado</v>
      </c>
      <c r="N99" t="str">
        <f>IF(AND(Tabela13[[#This Row],[credito_tomado]]&gt;50000,Tabela13[[#This Row],[flag_inadimplente]]="Sim"),"Negado","Aprovado")</f>
        <v>Aprovado</v>
      </c>
      <c r="O99" s="4">
        <f>IF(AND(Tabela13[[#This Row],[analise_risco]]="Negado",Tabela13[[#This Row],[analise_credito]]="Negado"),0,IF(Tabela13[[#This Row],[status]]="Ativo",Tabela13[[#This Row],[valor_solicitado]]*8%,0))</f>
        <v>1960</v>
      </c>
      <c r="P99" s="4">
        <v>24500</v>
      </c>
    </row>
    <row r="100" spans="1:16">
      <c r="A100" t="s">
        <v>85</v>
      </c>
      <c r="B100" t="s">
        <v>288</v>
      </c>
      <c r="C100" s="2" t="s">
        <v>289</v>
      </c>
      <c r="D100" s="24">
        <v>55</v>
      </c>
      <c r="E100" s="3">
        <v>26142</v>
      </c>
      <c r="F100" t="s">
        <v>107</v>
      </c>
      <c r="G100" t="s">
        <v>108</v>
      </c>
      <c r="H100" s="4">
        <v>29700</v>
      </c>
      <c r="I100" s="4">
        <v>78000</v>
      </c>
      <c r="J100" s="5" t="s">
        <v>46</v>
      </c>
      <c r="K100" s="6">
        <v>14</v>
      </c>
      <c r="L100" t="str" cm="1">
        <f t="array" ref="L100">_xlfn.IFS(K100&gt;=26,"Alto",K100&lt;11,"Baixo",K100&lt;26,"Médio")</f>
        <v>Médio</v>
      </c>
      <c r="M100" t="str">
        <f>IF(AND(Tabela13[[#This Row],[flag_inadimplente]]="Sim",Tabela13[[#This Row],[nivel_risco]]="Alto"),"Negado","Aprovado")</f>
        <v>Aprovado</v>
      </c>
      <c r="N100" t="str">
        <f>IF(AND(Tabela13[[#This Row],[credito_tomado]]&gt;50000,Tabela13[[#This Row],[flag_inadimplente]]="Sim"),"Negado","Aprovado")</f>
        <v>Negado</v>
      </c>
      <c r="O100" s="4">
        <f>IF(AND(Tabela13[[#This Row],[analise_risco]]="Negado",Tabela13[[#This Row],[analise_credito]]="Negado"),0,IF(Tabela13[[#This Row],[status]]="Ativo",Tabela13[[#This Row],[valor_solicitado]]*8%,0))</f>
        <v>0</v>
      </c>
      <c r="P100" s="4">
        <v>27000</v>
      </c>
    </row>
    <row r="101" spans="1:16">
      <c r="A101" t="s">
        <v>85</v>
      </c>
      <c r="B101" t="s">
        <v>290</v>
      </c>
      <c r="C101" s="2" t="s">
        <v>291</v>
      </c>
      <c r="D101" s="24">
        <v>52</v>
      </c>
      <c r="E101" s="3">
        <v>27186</v>
      </c>
      <c r="F101" t="s">
        <v>216</v>
      </c>
      <c r="G101" t="s">
        <v>94</v>
      </c>
      <c r="H101" s="4">
        <v>6400</v>
      </c>
      <c r="I101" s="4">
        <v>37000</v>
      </c>
      <c r="J101" s="5" t="s">
        <v>45</v>
      </c>
      <c r="K101" s="6">
        <v>1</v>
      </c>
      <c r="L101" t="str" cm="1">
        <f t="array" ref="L101">_xlfn.IFS(K101&gt;=26,"Alto",K101&lt;11,"Baixo",K101&lt;26,"Médio")</f>
        <v>Baixo</v>
      </c>
      <c r="M101" t="str">
        <f>IF(AND(Tabela13[[#This Row],[flag_inadimplente]]="Sim",Tabela13[[#This Row],[nivel_risco]]="Alto"),"Negado","Aprovado")</f>
        <v>Aprovado</v>
      </c>
      <c r="N101" t="str">
        <f>IF(AND(Tabela13[[#This Row],[credito_tomado]]&gt;50000,Tabela13[[#This Row],[flag_inadimplente]]="Sim"),"Negado","Aprovado")</f>
        <v>Aprovado</v>
      </c>
      <c r="O101" s="4">
        <f>IF(AND(Tabela13[[#This Row],[analise_risco]]="Negado",Tabela13[[#This Row],[analise_credito]]="Negado"),0,IF(Tabela13[[#This Row],[status]]="Ativo",Tabela13[[#This Row],[valor_solicitado]]*8%,0))</f>
        <v>0</v>
      </c>
      <c r="P101" s="4">
        <v>87000</v>
      </c>
    </row>
    <row r="102" spans="1:16">
      <c r="A102" t="s">
        <v>85</v>
      </c>
      <c r="B102" t="s">
        <v>292</v>
      </c>
      <c r="C102" s="2" t="s">
        <v>293</v>
      </c>
      <c r="D102" s="24">
        <v>70</v>
      </c>
      <c r="E102" s="3">
        <v>20502</v>
      </c>
      <c r="F102" t="s">
        <v>139</v>
      </c>
      <c r="G102" t="s">
        <v>140</v>
      </c>
      <c r="H102" s="4">
        <v>2500</v>
      </c>
      <c r="I102" s="4">
        <v>0</v>
      </c>
      <c r="J102" s="5" t="s">
        <v>45</v>
      </c>
      <c r="K102" s="6">
        <v>38</v>
      </c>
      <c r="L102" t="str" cm="1">
        <f t="array" ref="L102">_xlfn.IFS(K102&gt;=26,"Alto",K102&lt;11,"Baixo",K102&lt;26,"Médio")</f>
        <v>Alto</v>
      </c>
      <c r="M102" t="str">
        <f>IF(AND(Tabela13[[#This Row],[flag_inadimplente]]="Sim",Tabela13[[#This Row],[nivel_risco]]="Alto"),"Negado","Aprovado")</f>
        <v>Aprovado</v>
      </c>
      <c r="N102" t="str">
        <f>IF(AND(Tabela13[[#This Row],[credito_tomado]]&gt;50000,Tabela13[[#This Row],[flag_inadimplente]]="Sim"),"Negado","Aprovado")</f>
        <v>Aprovado</v>
      </c>
      <c r="O102" s="4">
        <f>IF(AND(Tabela13[[#This Row],[analise_risco]]="Negado",Tabela13[[#This Row],[analise_credito]]="Negado"),0,IF(Tabela13[[#This Row],[status]]="Ativo",Tabela13[[#This Row],[valor_solicitado]]*8%,0))</f>
        <v>0</v>
      </c>
      <c r="P102" s="4">
        <v>44500</v>
      </c>
    </row>
    <row r="103" spans="1:16">
      <c r="A103" t="s">
        <v>71</v>
      </c>
      <c r="B103" t="s">
        <v>294</v>
      </c>
      <c r="C103" s="2" t="s">
        <v>295</v>
      </c>
      <c r="D103" s="24">
        <v>32</v>
      </c>
      <c r="E103" s="3">
        <v>34347</v>
      </c>
      <c r="F103" t="s">
        <v>107</v>
      </c>
      <c r="G103" t="s">
        <v>108</v>
      </c>
      <c r="H103" s="4">
        <v>15600</v>
      </c>
      <c r="I103" s="8" t="s">
        <v>80</v>
      </c>
      <c r="J103" s="5" t="s">
        <v>46</v>
      </c>
      <c r="K103" s="6">
        <v>34</v>
      </c>
      <c r="L103" t="str" cm="1">
        <f t="array" ref="L103">_xlfn.IFS(K103&gt;=26,"Alto",K103&lt;11,"Baixo",K103&lt;26,"Médio")</f>
        <v>Alto</v>
      </c>
      <c r="M103" t="str">
        <f>IF(AND(Tabela13[[#This Row],[flag_inadimplente]]="Sim",Tabela13[[#This Row],[nivel_risco]]="Alto"),"Negado","Aprovado")</f>
        <v>Negado</v>
      </c>
      <c r="N103" t="str">
        <f>IF(AND(Tabela13[[#This Row],[credito_tomado]]&gt;50000,Tabela13[[#This Row],[flag_inadimplente]]="Sim"),"Negado","Aprovado")</f>
        <v>Negado</v>
      </c>
      <c r="O103" s="4">
        <f>IF(AND(Tabela13[[#This Row],[analise_risco]]="Negado",Tabela13[[#This Row],[analise_credito]]="Negado"),0,IF(Tabela13[[#This Row],[status]]="Ativo",Tabela13[[#This Row],[valor_solicitado]]*8%,0))</f>
        <v>0</v>
      </c>
      <c r="P103" s="4">
        <v>16000</v>
      </c>
    </row>
    <row r="104" spans="1:16">
      <c r="A104" t="s">
        <v>85</v>
      </c>
      <c r="B104" t="s">
        <v>296</v>
      </c>
      <c r="C104" s="2" t="s">
        <v>297</v>
      </c>
      <c r="D104" s="24">
        <v>59</v>
      </c>
      <c r="E104" s="3">
        <v>24512</v>
      </c>
      <c r="F104" t="s">
        <v>298</v>
      </c>
      <c r="G104" t="s">
        <v>79</v>
      </c>
      <c r="H104" s="4">
        <v>6300</v>
      </c>
      <c r="I104" s="4">
        <v>15000</v>
      </c>
      <c r="J104" s="5" t="s">
        <v>45</v>
      </c>
      <c r="K104" s="6">
        <v>42</v>
      </c>
      <c r="L104" t="str" cm="1">
        <f t="array" ref="L104">_xlfn.IFS(K104&gt;=26,"Alto",K104&lt;11,"Baixo",K104&lt;26,"Médio")</f>
        <v>Alto</v>
      </c>
      <c r="M104" t="str">
        <f>IF(AND(Tabela13[[#This Row],[flag_inadimplente]]="Sim",Tabela13[[#This Row],[nivel_risco]]="Alto"),"Negado","Aprovado")</f>
        <v>Aprovado</v>
      </c>
      <c r="N104" t="str">
        <f>IF(AND(Tabela13[[#This Row],[credito_tomado]]&gt;50000,Tabela13[[#This Row],[flag_inadimplente]]="Sim"),"Negado","Aprovado")</f>
        <v>Aprovado</v>
      </c>
      <c r="O104" s="4">
        <f>IF(AND(Tabela13[[#This Row],[analise_risco]]="Negado",Tabela13[[#This Row],[analise_credito]]="Negado"),0,IF(Tabela13[[#This Row],[status]]="Ativo",Tabela13[[#This Row],[valor_solicitado]]*8%,0))</f>
        <v>0</v>
      </c>
      <c r="P104" s="4">
        <v>8500</v>
      </c>
    </row>
    <row r="105" spans="1:16">
      <c r="A105" t="s">
        <v>71</v>
      </c>
      <c r="B105" t="s">
        <v>299</v>
      </c>
      <c r="C105" s="2" t="s">
        <v>300</v>
      </c>
      <c r="D105" s="24" t="s">
        <v>301</v>
      </c>
      <c r="E105" s="3">
        <v>27378</v>
      </c>
      <c r="F105" t="s">
        <v>90</v>
      </c>
      <c r="G105" t="s">
        <v>90</v>
      </c>
      <c r="H105" s="4">
        <v>11600</v>
      </c>
      <c r="I105" s="4">
        <v>41000</v>
      </c>
      <c r="J105" s="5" t="s">
        <v>45</v>
      </c>
      <c r="K105" s="6">
        <v>7</v>
      </c>
      <c r="L105" t="str" cm="1">
        <f t="array" ref="L105">_xlfn.IFS(K105&gt;=26,"Alto",K105&lt;11,"Baixo",K105&lt;26,"Médio")</f>
        <v>Baixo</v>
      </c>
      <c r="M105" t="str">
        <f>IF(AND(Tabela13[[#This Row],[flag_inadimplente]]="Sim",Tabela13[[#This Row],[nivel_risco]]="Alto"),"Negado","Aprovado")</f>
        <v>Aprovado</v>
      </c>
      <c r="N105" t="str">
        <f>IF(AND(Tabela13[[#This Row],[credito_tomado]]&gt;50000,Tabela13[[#This Row],[flag_inadimplente]]="Sim"),"Negado","Aprovado")</f>
        <v>Aprovado</v>
      </c>
      <c r="O105" s="4">
        <f>IF(AND(Tabela13[[#This Row],[analise_risco]]="Negado",Tabela13[[#This Row],[analise_credito]]="Negado"),0,IF(Tabela13[[#This Row],[status]]="Ativo",Tabela13[[#This Row],[valor_solicitado]]*8%,0))</f>
        <v>5360</v>
      </c>
      <c r="P105" s="4">
        <v>67000</v>
      </c>
    </row>
    <row r="106" spans="1:16">
      <c r="A106" t="s">
        <v>85</v>
      </c>
      <c r="B106" t="s">
        <v>302</v>
      </c>
      <c r="C106" s="2" t="s">
        <v>303</v>
      </c>
      <c r="D106" s="24">
        <v>38</v>
      </c>
      <c r="E106" s="3">
        <v>32102</v>
      </c>
      <c r="F106" t="s">
        <v>101</v>
      </c>
      <c r="G106" t="s">
        <v>102</v>
      </c>
      <c r="H106" s="4">
        <v>13500</v>
      </c>
      <c r="I106" s="4">
        <v>24000</v>
      </c>
      <c r="J106" s="5" t="s">
        <v>45</v>
      </c>
      <c r="K106" s="6">
        <v>2</v>
      </c>
      <c r="L106" t="str" cm="1">
        <f t="array" ref="L106">_xlfn.IFS(K106&gt;=26,"Alto",K106&lt;11,"Baixo",K106&lt;26,"Médio")</f>
        <v>Baixo</v>
      </c>
      <c r="M106" t="str">
        <f>IF(AND(Tabela13[[#This Row],[flag_inadimplente]]="Sim",Tabela13[[#This Row],[nivel_risco]]="Alto"),"Negado","Aprovado")</f>
        <v>Aprovado</v>
      </c>
      <c r="N106" t="str">
        <f>IF(AND(Tabela13[[#This Row],[credito_tomado]]&gt;50000,Tabela13[[#This Row],[flag_inadimplente]]="Sim"),"Negado","Aprovado")</f>
        <v>Aprovado</v>
      </c>
      <c r="O106" s="4">
        <f>IF(AND(Tabela13[[#This Row],[analise_risco]]="Negado",Tabela13[[#This Row],[analise_credito]]="Negado"),0,IF(Tabela13[[#This Row],[status]]="Ativo",Tabela13[[#This Row],[valor_solicitado]]*8%,0))</f>
        <v>0</v>
      </c>
      <c r="P106" s="4">
        <v>17500</v>
      </c>
    </row>
    <row r="107" spans="1:16">
      <c r="A107" t="s">
        <v>71</v>
      </c>
      <c r="B107" t="s">
        <v>304</v>
      </c>
      <c r="C107" s="2" t="s">
        <v>305</v>
      </c>
      <c r="D107" s="24">
        <v>48</v>
      </c>
      <c r="E107" s="3">
        <v>28673</v>
      </c>
      <c r="F107" t="s">
        <v>188</v>
      </c>
      <c r="G107" t="s">
        <v>195</v>
      </c>
      <c r="H107" s="4">
        <v>2300</v>
      </c>
      <c r="I107" s="4">
        <v>26500</v>
      </c>
      <c r="J107" s="5" t="s">
        <v>45</v>
      </c>
      <c r="K107" s="6">
        <v>44</v>
      </c>
      <c r="L107" t="str" cm="1">
        <f t="array" ref="L107">_xlfn.IFS(K107&gt;=26,"Alto",K107&lt;11,"Baixo",K107&lt;26,"Médio")</f>
        <v>Alto</v>
      </c>
      <c r="M107" t="str">
        <f>IF(AND(Tabela13[[#This Row],[flag_inadimplente]]="Sim",Tabela13[[#This Row],[nivel_risco]]="Alto"),"Negado","Aprovado")</f>
        <v>Aprovado</v>
      </c>
      <c r="N107" t="str">
        <f>IF(AND(Tabela13[[#This Row],[credito_tomado]]&gt;50000,Tabela13[[#This Row],[flag_inadimplente]]="Sim"),"Negado","Aprovado")</f>
        <v>Aprovado</v>
      </c>
      <c r="O107" s="4">
        <f>IF(AND(Tabela13[[#This Row],[analise_risco]]="Negado",Tabela13[[#This Row],[analise_credito]]="Negado"),0,IF(Tabela13[[#This Row],[status]]="Ativo",Tabela13[[#This Row],[valor_solicitado]]*8%,0))</f>
        <v>6480</v>
      </c>
      <c r="P107" s="4">
        <v>81000</v>
      </c>
    </row>
    <row r="108" spans="1:16">
      <c r="A108" t="s">
        <v>71</v>
      </c>
      <c r="B108" t="s">
        <v>306</v>
      </c>
      <c r="C108" s="2" t="s">
        <v>307</v>
      </c>
      <c r="D108" s="24">
        <v>22</v>
      </c>
      <c r="E108" s="3">
        <v>37904</v>
      </c>
      <c r="F108" t="s">
        <v>216</v>
      </c>
      <c r="G108" t="s">
        <v>94</v>
      </c>
      <c r="H108" s="4">
        <v>2300</v>
      </c>
      <c r="I108" s="4">
        <v>0</v>
      </c>
      <c r="J108" s="5" t="s">
        <v>46</v>
      </c>
      <c r="K108" s="6">
        <v>29</v>
      </c>
      <c r="L108" t="str" cm="1">
        <f t="array" ref="L108">_xlfn.IFS(K108&gt;=26,"Alto",K108&lt;11,"Baixo",K108&lt;26,"Médio")</f>
        <v>Alto</v>
      </c>
      <c r="M108" t="str">
        <f>IF(AND(Tabela13[[#This Row],[flag_inadimplente]]="Sim",Tabela13[[#This Row],[nivel_risco]]="Alto"),"Negado","Aprovado")</f>
        <v>Negado</v>
      </c>
      <c r="N108" t="str">
        <f>IF(AND(Tabela13[[#This Row],[credito_tomado]]&gt;50000,Tabela13[[#This Row],[flag_inadimplente]]="Sim"),"Negado","Aprovado")</f>
        <v>Aprovado</v>
      </c>
      <c r="O108" s="4">
        <f>IF(AND(Tabela13[[#This Row],[analise_risco]]="Negado",Tabela13[[#This Row],[analise_credito]]="Negado"),0,IF(Tabela13[[#This Row],[status]]="Ativo",Tabela13[[#This Row],[valor_solicitado]]*8%,0))</f>
        <v>4120</v>
      </c>
      <c r="P108" s="4">
        <v>51500</v>
      </c>
    </row>
    <row r="109" spans="1:16">
      <c r="A109" t="s">
        <v>71</v>
      </c>
      <c r="B109" t="s">
        <v>308</v>
      </c>
      <c r="C109" s="2" t="s">
        <v>309</v>
      </c>
      <c r="D109" s="24">
        <v>56</v>
      </c>
      <c r="E109" s="3">
        <v>25551</v>
      </c>
      <c r="F109" t="s">
        <v>90</v>
      </c>
      <c r="G109" t="s">
        <v>90</v>
      </c>
      <c r="H109" s="4">
        <v>22600</v>
      </c>
      <c r="I109" s="4">
        <v>63000</v>
      </c>
      <c r="J109" s="5" t="s">
        <v>45</v>
      </c>
      <c r="K109" s="6">
        <v>33</v>
      </c>
      <c r="L109" t="str" cm="1">
        <f t="array" ref="L109">_xlfn.IFS(K109&gt;=26,"Alto",K109&lt;11,"Baixo",K109&lt;26,"Médio")</f>
        <v>Alto</v>
      </c>
      <c r="M109" t="str">
        <f>IF(AND(Tabela13[[#This Row],[flag_inadimplente]]="Sim",Tabela13[[#This Row],[nivel_risco]]="Alto"),"Negado","Aprovado")</f>
        <v>Aprovado</v>
      </c>
      <c r="N109" t="str">
        <f>IF(AND(Tabela13[[#This Row],[credito_tomado]]&gt;50000,Tabela13[[#This Row],[flag_inadimplente]]="Sim"),"Negado","Aprovado")</f>
        <v>Aprovado</v>
      </c>
      <c r="O109" s="4">
        <f>IF(AND(Tabela13[[#This Row],[analise_risco]]="Negado",Tabela13[[#This Row],[analise_credito]]="Negado"),0,IF(Tabela13[[#This Row],[status]]="Ativo",Tabela13[[#This Row],[valor_solicitado]]*8%,0))</f>
        <v>4240</v>
      </c>
      <c r="P109" s="4">
        <v>53000</v>
      </c>
    </row>
    <row r="110" spans="1:16">
      <c r="A110" t="s">
        <v>71</v>
      </c>
      <c r="B110" t="s">
        <v>310</v>
      </c>
      <c r="C110" s="2" t="s">
        <v>311</v>
      </c>
      <c r="D110" s="24">
        <v>23</v>
      </c>
      <c r="E110" s="3">
        <v>37627</v>
      </c>
      <c r="F110" t="s">
        <v>83</v>
      </c>
      <c r="G110" t="s">
        <v>84</v>
      </c>
      <c r="H110" s="4" t="s">
        <v>80</v>
      </c>
      <c r="I110" s="4">
        <v>69000</v>
      </c>
      <c r="J110" s="5" t="s">
        <v>45</v>
      </c>
      <c r="K110" s="6">
        <v>20</v>
      </c>
      <c r="L110" t="str" cm="1">
        <f t="array" ref="L110">_xlfn.IFS(K110&gt;=26,"Alto",K110&lt;11,"Baixo",K110&lt;26,"Médio")</f>
        <v>Médio</v>
      </c>
      <c r="M110" t="str">
        <f>IF(AND(Tabela13[[#This Row],[flag_inadimplente]]="Sim",Tabela13[[#This Row],[nivel_risco]]="Alto"),"Negado","Aprovado")</f>
        <v>Aprovado</v>
      </c>
      <c r="N110" t="str">
        <f>IF(AND(Tabela13[[#This Row],[credito_tomado]]&gt;50000,Tabela13[[#This Row],[flag_inadimplente]]="Sim"),"Negado","Aprovado")</f>
        <v>Aprovado</v>
      </c>
      <c r="O110" s="4">
        <f>IF(AND(Tabela13[[#This Row],[analise_risco]]="Negado",Tabela13[[#This Row],[analise_credito]]="Negado"),0,IF(Tabela13[[#This Row],[status]]="Ativo",Tabela13[[#This Row],[valor_solicitado]]*8%,0))</f>
        <v>5520</v>
      </c>
      <c r="P110" s="4">
        <v>69000</v>
      </c>
    </row>
    <row r="111" spans="1:16">
      <c r="A111" t="s">
        <v>71</v>
      </c>
      <c r="B111" t="s">
        <v>312</v>
      </c>
      <c r="C111" s="2" t="s">
        <v>313</v>
      </c>
      <c r="D111" s="24">
        <v>72</v>
      </c>
      <c r="E111" s="3">
        <v>19839</v>
      </c>
      <c r="F111" t="s">
        <v>107</v>
      </c>
      <c r="G111" t="s">
        <v>108</v>
      </c>
      <c r="H111" s="4">
        <v>3900</v>
      </c>
      <c r="I111" s="4">
        <v>27000</v>
      </c>
      <c r="J111" s="5" t="s">
        <v>45</v>
      </c>
      <c r="K111" s="6">
        <v>33</v>
      </c>
      <c r="L111" t="str" cm="1">
        <f t="array" ref="L111">_xlfn.IFS(K111&gt;=26,"Alto",K111&lt;11,"Baixo",K111&lt;26,"Médio")</f>
        <v>Alto</v>
      </c>
      <c r="M111" t="str">
        <f>IF(AND(Tabela13[[#This Row],[flag_inadimplente]]="Sim",Tabela13[[#This Row],[nivel_risco]]="Alto"),"Negado","Aprovado")</f>
        <v>Aprovado</v>
      </c>
      <c r="N111" t="str">
        <f>IF(AND(Tabela13[[#This Row],[credito_tomado]]&gt;50000,Tabela13[[#This Row],[flag_inadimplente]]="Sim"),"Negado","Aprovado")</f>
        <v>Aprovado</v>
      </c>
      <c r="O111" s="4">
        <f>IF(AND(Tabela13[[#This Row],[analise_risco]]="Negado",Tabela13[[#This Row],[analise_credito]]="Negado"),0,IF(Tabela13[[#This Row],[status]]="Ativo",Tabela13[[#This Row],[valor_solicitado]]*8%,0))</f>
        <v>160</v>
      </c>
      <c r="P111" s="4">
        <v>2000</v>
      </c>
    </row>
    <row r="112" spans="1:16">
      <c r="A112" t="s">
        <v>71</v>
      </c>
      <c r="B112" t="s">
        <v>314</v>
      </c>
      <c r="C112" s="2" t="s">
        <v>315</v>
      </c>
      <c r="D112" s="24">
        <v>54</v>
      </c>
      <c r="E112" s="3">
        <v>26230</v>
      </c>
      <c r="F112" t="s">
        <v>147</v>
      </c>
      <c r="G112" t="s">
        <v>98</v>
      </c>
      <c r="H112" s="4">
        <v>18700</v>
      </c>
      <c r="I112" s="4">
        <v>46000</v>
      </c>
      <c r="J112" s="5" t="s">
        <v>46</v>
      </c>
      <c r="K112" s="6">
        <v>4</v>
      </c>
      <c r="L112" t="str" cm="1">
        <f t="array" ref="L112">_xlfn.IFS(K112&gt;=26,"Alto",K112&lt;11,"Baixo",K112&lt;26,"Médio")</f>
        <v>Baixo</v>
      </c>
      <c r="M112" t="str">
        <f>IF(AND(Tabela13[[#This Row],[flag_inadimplente]]="Sim",Tabela13[[#This Row],[nivel_risco]]="Alto"),"Negado","Aprovado")</f>
        <v>Aprovado</v>
      </c>
      <c r="N112" t="str">
        <f>IF(AND(Tabela13[[#This Row],[credito_tomado]]&gt;50000,Tabela13[[#This Row],[flag_inadimplente]]="Sim"),"Negado","Aprovado")</f>
        <v>Aprovado</v>
      </c>
      <c r="O112" s="4">
        <f>IF(AND(Tabela13[[#This Row],[analise_risco]]="Negado",Tabela13[[#This Row],[analise_credito]]="Negado"),0,IF(Tabela13[[#This Row],[status]]="Ativo",Tabela13[[#This Row],[valor_solicitado]]*8%,0))</f>
        <v>2200</v>
      </c>
      <c r="P112" s="4">
        <v>27500</v>
      </c>
    </row>
    <row r="113" spans="1:16">
      <c r="A113" t="s">
        <v>85</v>
      </c>
      <c r="B113" t="s">
        <v>316</v>
      </c>
      <c r="C113" s="2" t="s">
        <v>317</v>
      </c>
      <c r="D113" s="24">
        <v>67</v>
      </c>
      <c r="E113" s="3">
        <v>21512</v>
      </c>
      <c r="F113" t="s">
        <v>115</v>
      </c>
      <c r="G113" t="s">
        <v>75</v>
      </c>
      <c r="H113" s="4">
        <v>3200</v>
      </c>
      <c r="I113" s="4">
        <v>6500</v>
      </c>
      <c r="J113" s="5" t="s">
        <v>45</v>
      </c>
      <c r="K113" s="6">
        <v>20</v>
      </c>
      <c r="L113" t="str" cm="1">
        <f t="array" ref="L113">_xlfn.IFS(K113&gt;=26,"Alto",K113&lt;11,"Baixo",K113&lt;26,"Médio")</f>
        <v>Médio</v>
      </c>
      <c r="M113" t="str">
        <f>IF(AND(Tabela13[[#This Row],[flag_inadimplente]]="Sim",Tabela13[[#This Row],[nivel_risco]]="Alto"),"Negado","Aprovado")</f>
        <v>Aprovado</v>
      </c>
      <c r="N113" t="str">
        <f>IF(AND(Tabela13[[#This Row],[credito_tomado]]&gt;50000,Tabela13[[#This Row],[flag_inadimplente]]="Sim"),"Negado","Aprovado")</f>
        <v>Aprovado</v>
      </c>
      <c r="O113" s="4">
        <f>IF(AND(Tabela13[[#This Row],[analise_risco]]="Negado",Tabela13[[#This Row],[analise_credito]]="Negado"),0,IF(Tabela13[[#This Row],[status]]="Ativo",Tabela13[[#This Row],[valor_solicitado]]*8%,0))</f>
        <v>0</v>
      </c>
      <c r="P113" s="4">
        <v>52500</v>
      </c>
    </row>
    <row r="114" spans="1:16">
      <c r="A114" t="s">
        <v>71</v>
      </c>
      <c r="B114" t="s">
        <v>318</v>
      </c>
      <c r="C114" s="2" t="s">
        <v>319</v>
      </c>
      <c r="D114" s="24">
        <v>24</v>
      </c>
      <c r="E114" s="3">
        <v>37394</v>
      </c>
      <c r="F114" t="s">
        <v>139</v>
      </c>
      <c r="G114" t="s">
        <v>140</v>
      </c>
      <c r="H114" s="4">
        <v>14200</v>
      </c>
      <c r="I114" s="4">
        <v>71000</v>
      </c>
      <c r="J114" s="5" t="s">
        <v>45</v>
      </c>
      <c r="K114" s="6">
        <v>10</v>
      </c>
      <c r="L114" t="str" cm="1">
        <f t="array" ref="L114">_xlfn.IFS(K114&gt;=26,"Alto",K114&lt;11,"Baixo",K114&lt;26,"Médio")</f>
        <v>Baixo</v>
      </c>
      <c r="M114" t="str">
        <f>IF(AND(Tabela13[[#This Row],[flag_inadimplente]]="Sim",Tabela13[[#This Row],[nivel_risco]]="Alto"),"Negado","Aprovado")</f>
        <v>Aprovado</v>
      </c>
      <c r="N114" t="str">
        <f>IF(AND(Tabela13[[#This Row],[credito_tomado]]&gt;50000,Tabela13[[#This Row],[flag_inadimplente]]="Sim"),"Negado","Aprovado")</f>
        <v>Aprovado</v>
      </c>
      <c r="O114" s="4">
        <f>IF(AND(Tabela13[[#This Row],[analise_risco]]="Negado",Tabela13[[#This Row],[analise_credito]]="Negado"),0,IF(Tabela13[[#This Row],[status]]="Ativo",Tabela13[[#This Row],[valor_solicitado]]*8%,0))</f>
        <v>7320</v>
      </c>
      <c r="P114" s="4">
        <v>91500</v>
      </c>
    </row>
    <row r="115" spans="1:16">
      <c r="A115" t="s">
        <v>71</v>
      </c>
      <c r="B115" t="s">
        <v>320</v>
      </c>
      <c r="C115" s="2" t="s">
        <v>321</v>
      </c>
      <c r="D115" s="24">
        <v>26</v>
      </c>
      <c r="E115" s="3">
        <v>36475</v>
      </c>
      <c r="F115" t="s">
        <v>198</v>
      </c>
      <c r="G115" t="s">
        <v>84</v>
      </c>
      <c r="H115" s="4">
        <v>13900</v>
      </c>
      <c r="I115" s="4">
        <v>53500</v>
      </c>
      <c r="J115" s="5" t="s">
        <v>45</v>
      </c>
      <c r="K115" s="6">
        <v>12</v>
      </c>
      <c r="L115" t="str" cm="1">
        <f t="array" ref="L115">_xlfn.IFS(K115&gt;=26,"Alto",K115&lt;11,"Baixo",K115&lt;26,"Médio")</f>
        <v>Médio</v>
      </c>
      <c r="M115" t="str">
        <f>IF(AND(Tabela13[[#This Row],[flag_inadimplente]]="Sim",Tabela13[[#This Row],[nivel_risco]]="Alto"),"Negado","Aprovado")</f>
        <v>Aprovado</v>
      </c>
      <c r="N115" t="str">
        <f>IF(AND(Tabela13[[#This Row],[credito_tomado]]&gt;50000,Tabela13[[#This Row],[flag_inadimplente]]="Sim"),"Negado","Aprovado")</f>
        <v>Aprovado</v>
      </c>
      <c r="O115" s="4">
        <f>IF(AND(Tabela13[[#This Row],[analise_risco]]="Negado",Tabela13[[#This Row],[analise_credito]]="Negado"),0,IF(Tabela13[[#This Row],[status]]="Ativo",Tabela13[[#This Row],[valor_solicitado]]*8%,0))</f>
        <v>6800</v>
      </c>
      <c r="P115" s="4">
        <v>85000</v>
      </c>
    </row>
    <row r="116" spans="1:16">
      <c r="A116" t="s">
        <v>85</v>
      </c>
      <c r="B116" t="s">
        <v>322</v>
      </c>
      <c r="C116" s="2" t="s">
        <v>323</v>
      </c>
      <c r="D116" s="24">
        <v>33</v>
      </c>
      <c r="E116" s="3">
        <v>34154</v>
      </c>
      <c r="F116" t="s">
        <v>97</v>
      </c>
      <c r="G116" t="s">
        <v>98</v>
      </c>
      <c r="H116" s="4">
        <v>2400</v>
      </c>
      <c r="I116" s="4">
        <v>78000</v>
      </c>
      <c r="J116" s="5" t="s">
        <v>45</v>
      </c>
      <c r="K116" s="6">
        <v>6</v>
      </c>
      <c r="L116" t="str" cm="1">
        <f t="array" ref="L116">_xlfn.IFS(K116&gt;=26,"Alto",K116&lt;11,"Baixo",K116&lt;26,"Médio")</f>
        <v>Baixo</v>
      </c>
      <c r="M116" t="str">
        <f>IF(AND(Tabela13[[#This Row],[flag_inadimplente]]="Sim",Tabela13[[#This Row],[nivel_risco]]="Alto"),"Negado","Aprovado")</f>
        <v>Aprovado</v>
      </c>
      <c r="N116" t="str">
        <f>IF(AND(Tabela13[[#This Row],[credito_tomado]]&gt;50000,Tabela13[[#This Row],[flag_inadimplente]]="Sim"),"Negado","Aprovado")</f>
        <v>Aprovado</v>
      </c>
      <c r="O116" s="4">
        <f>IF(AND(Tabela13[[#This Row],[analise_risco]]="Negado",Tabela13[[#This Row],[analise_credito]]="Negado"),0,IF(Tabela13[[#This Row],[status]]="Ativo",Tabela13[[#This Row],[valor_solicitado]]*8%,0))</f>
        <v>0</v>
      </c>
      <c r="P116" s="4">
        <v>28000</v>
      </c>
    </row>
    <row r="117" spans="1:16">
      <c r="A117" t="s">
        <v>71</v>
      </c>
      <c r="B117" t="s">
        <v>324</v>
      </c>
      <c r="C117" s="2" t="s">
        <v>325</v>
      </c>
      <c r="D117" s="24">
        <v>58</v>
      </c>
      <c r="E117" s="3">
        <v>24840</v>
      </c>
      <c r="F117" t="s">
        <v>188</v>
      </c>
      <c r="G117" t="s">
        <v>195</v>
      </c>
      <c r="H117" s="4">
        <v>2800</v>
      </c>
      <c r="I117" s="4">
        <v>35000</v>
      </c>
      <c r="J117" s="5" t="s">
        <v>45</v>
      </c>
      <c r="K117" s="6">
        <v>36</v>
      </c>
      <c r="L117" t="str" cm="1">
        <f t="array" ref="L117">_xlfn.IFS(K117&gt;=26,"Alto",K117&lt;11,"Baixo",K117&lt;26,"Médio")</f>
        <v>Alto</v>
      </c>
      <c r="M117" t="str">
        <f>IF(AND(Tabela13[[#This Row],[flag_inadimplente]]="Sim",Tabela13[[#This Row],[nivel_risco]]="Alto"),"Negado","Aprovado")</f>
        <v>Aprovado</v>
      </c>
      <c r="N117" t="str">
        <f>IF(AND(Tabela13[[#This Row],[credito_tomado]]&gt;50000,Tabela13[[#This Row],[flag_inadimplente]]="Sim"),"Negado","Aprovado")</f>
        <v>Aprovado</v>
      </c>
      <c r="O117" s="4">
        <f>IF(AND(Tabela13[[#This Row],[analise_risco]]="Negado",Tabela13[[#This Row],[analise_credito]]="Negado"),0,IF(Tabela13[[#This Row],[status]]="Ativo",Tabela13[[#This Row],[valor_solicitado]]*8%,0))</f>
        <v>720</v>
      </c>
      <c r="P117" s="4">
        <v>9000</v>
      </c>
    </row>
    <row r="118" spans="1:16">
      <c r="A118" t="s">
        <v>71</v>
      </c>
      <c r="B118" t="s">
        <v>326</v>
      </c>
      <c r="C118" s="2" t="s">
        <v>327</v>
      </c>
      <c r="D118" s="24">
        <v>44</v>
      </c>
      <c r="E118" s="3">
        <v>29843</v>
      </c>
      <c r="F118" t="s">
        <v>122</v>
      </c>
      <c r="G118" t="s">
        <v>123</v>
      </c>
      <c r="H118" s="4">
        <v>11300</v>
      </c>
      <c r="I118" s="4">
        <v>55000</v>
      </c>
      <c r="J118" s="5" t="s">
        <v>45</v>
      </c>
      <c r="K118" s="6">
        <v>38</v>
      </c>
      <c r="L118" t="str" cm="1">
        <f t="array" ref="L118">_xlfn.IFS(K118&gt;=26,"Alto",K118&lt;11,"Baixo",K118&lt;26,"Médio")</f>
        <v>Alto</v>
      </c>
      <c r="M118" t="str">
        <f>IF(AND(Tabela13[[#This Row],[flag_inadimplente]]="Sim",Tabela13[[#This Row],[nivel_risco]]="Alto"),"Negado","Aprovado")</f>
        <v>Aprovado</v>
      </c>
      <c r="N118" t="str">
        <f>IF(AND(Tabela13[[#This Row],[credito_tomado]]&gt;50000,Tabela13[[#This Row],[flag_inadimplente]]="Sim"),"Negado","Aprovado")</f>
        <v>Aprovado</v>
      </c>
      <c r="O118" s="4">
        <f>IF(AND(Tabela13[[#This Row],[analise_risco]]="Negado",Tabela13[[#This Row],[analise_credito]]="Negado"),0,IF(Tabela13[[#This Row],[status]]="Ativo",Tabela13[[#This Row],[valor_solicitado]]*8%,0))</f>
        <v>5480</v>
      </c>
      <c r="P118" s="4">
        <v>68500</v>
      </c>
    </row>
    <row r="119" spans="1:16">
      <c r="A119" t="s">
        <v>71</v>
      </c>
      <c r="B119" t="s">
        <v>328</v>
      </c>
      <c r="C119" s="2" t="s">
        <v>329</v>
      </c>
      <c r="D119" s="24">
        <v>65</v>
      </c>
      <c r="E119" s="3">
        <v>22366</v>
      </c>
      <c r="F119" t="s">
        <v>78</v>
      </c>
      <c r="G119" t="s">
        <v>79</v>
      </c>
      <c r="H119" s="4">
        <v>18000</v>
      </c>
      <c r="I119" s="4">
        <v>0</v>
      </c>
      <c r="J119" s="5" t="s">
        <v>45</v>
      </c>
      <c r="K119" s="6">
        <v>27</v>
      </c>
      <c r="L119" t="str" cm="1">
        <f t="array" ref="L119">_xlfn.IFS(K119&gt;=26,"Alto",K119&lt;11,"Baixo",K119&lt;26,"Médio")</f>
        <v>Alto</v>
      </c>
      <c r="M119" t="str">
        <f>IF(AND(Tabela13[[#This Row],[flag_inadimplente]]="Sim",Tabela13[[#This Row],[nivel_risco]]="Alto"),"Negado","Aprovado")</f>
        <v>Aprovado</v>
      </c>
      <c r="N119" t="str">
        <f>IF(AND(Tabela13[[#This Row],[credito_tomado]]&gt;50000,Tabela13[[#This Row],[flag_inadimplente]]="Sim"),"Negado","Aprovado")</f>
        <v>Aprovado</v>
      </c>
      <c r="O119" s="4">
        <f>IF(AND(Tabela13[[#This Row],[analise_risco]]="Negado",Tabela13[[#This Row],[analise_credito]]="Negado"),0,IF(Tabela13[[#This Row],[status]]="Ativo",Tabela13[[#This Row],[valor_solicitado]]*8%,0))</f>
        <v>3080</v>
      </c>
      <c r="P119" s="4">
        <v>38500</v>
      </c>
    </row>
    <row r="120" spans="1:16">
      <c r="A120" s="7" t="s">
        <v>80</v>
      </c>
      <c r="B120" t="s">
        <v>330</v>
      </c>
      <c r="C120" s="2" t="s">
        <v>331</v>
      </c>
      <c r="D120" s="24" t="s">
        <v>80</v>
      </c>
      <c r="E120" s="3">
        <v>33188</v>
      </c>
      <c r="F120" t="s">
        <v>115</v>
      </c>
      <c r="G120" t="s">
        <v>75</v>
      </c>
      <c r="H120" s="4">
        <v>29900</v>
      </c>
      <c r="I120" s="4">
        <v>64500</v>
      </c>
      <c r="J120" s="5" t="s">
        <v>45</v>
      </c>
      <c r="K120" s="6">
        <v>34</v>
      </c>
      <c r="L120" t="str" cm="1">
        <f t="array" ref="L120">_xlfn.IFS(K120&gt;=26,"Alto",K120&lt;11,"Baixo",K120&lt;26,"Médio")</f>
        <v>Alto</v>
      </c>
      <c r="M120" t="str">
        <f>IF(AND(Tabela13[[#This Row],[flag_inadimplente]]="Sim",Tabela13[[#This Row],[nivel_risco]]="Alto"),"Negado","Aprovado")</f>
        <v>Aprovado</v>
      </c>
      <c r="N120" t="str">
        <f>IF(AND(Tabela13[[#This Row],[credito_tomado]]&gt;50000,Tabela13[[#This Row],[flag_inadimplente]]="Sim"),"Negado","Aprovado")</f>
        <v>Aprovado</v>
      </c>
      <c r="O120" s="4">
        <f>IF(AND(Tabela13[[#This Row],[analise_risco]]="Negado",Tabela13[[#This Row],[analise_credito]]="Negado"),0,IF(Tabela13[[#This Row],[status]]="Ativo",Tabela13[[#This Row],[valor_solicitado]]*8%,0))</f>
        <v>0</v>
      </c>
      <c r="P120" s="4">
        <v>48500</v>
      </c>
    </row>
    <row r="121" spans="1:16">
      <c r="A121" t="s">
        <v>71</v>
      </c>
      <c r="B121" t="s">
        <v>332</v>
      </c>
      <c r="C121" s="2" t="s">
        <v>333</v>
      </c>
      <c r="D121" s="24">
        <v>58</v>
      </c>
      <c r="E121" s="3">
        <v>25066</v>
      </c>
      <c r="F121" t="s">
        <v>78</v>
      </c>
      <c r="G121" t="s">
        <v>79</v>
      </c>
      <c r="H121" s="4">
        <v>4500</v>
      </c>
      <c r="I121" s="8" t="s">
        <v>80</v>
      </c>
      <c r="J121" s="5" t="s">
        <v>46</v>
      </c>
      <c r="K121" s="6">
        <v>31</v>
      </c>
      <c r="L121" t="str" cm="1">
        <f t="array" ref="L121">_xlfn.IFS(K121&gt;=26,"Alto",K121&lt;11,"Baixo",K121&lt;26,"Médio")</f>
        <v>Alto</v>
      </c>
      <c r="M121" t="str">
        <f>IF(AND(Tabela13[[#This Row],[flag_inadimplente]]="Sim",Tabela13[[#This Row],[nivel_risco]]="Alto"),"Negado","Aprovado")</f>
        <v>Negado</v>
      </c>
      <c r="N121" t="str">
        <f>IF(AND(Tabela13[[#This Row],[credito_tomado]]&gt;50000,Tabela13[[#This Row],[flag_inadimplente]]="Sim"),"Negado","Aprovado")</f>
        <v>Negado</v>
      </c>
      <c r="O121" s="4">
        <f>IF(AND(Tabela13[[#This Row],[analise_risco]]="Negado",Tabela13[[#This Row],[analise_credito]]="Negado"),0,IF(Tabela13[[#This Row],[status]]="Ativo",Tabela13[[#This Row],[valor_solicitado]]*8%,0))</f>
        <v>0</v>
      </c>
      <c r="P121" s="4">
        <v>97500</v>
      </c>
    </row>
    <row r="122" spans="1:16">
      <c r="A122" t="s">
        <v>85</v>
      </c>
      <c r="B122" t="s">
        <v>334</v>
      </c>
      <c r="C122" s="2" t="s">
        <v>335</v>
      </c>
      <c r="D122" s="24">
        <v>29</v>
      </c>
      <c r="E122" s="3">
        <v>35598</v>
      </c>
      <c r="F122" t="s">
        <v>90</v>
      </c>
      <c r="G122" t="s">
        <v>90</v>
      </c>
      <c r="H122" s="4">
        <v>15500</v>
      </c>
      <c r="I122" s="4">
        <v>75000</v>
      </c>
      <c r="J122" s="5" t="s">
        <v>45</v>
      </c>
      <c r="K122" s="6">
        <v>25</v>
      </c>
      <c r="L122" t="str" cm="1">
        <f t="array" ref="L122">_xlfn.IFS(K122&gt;=26,"Alto",K122&lt;11,"Baixo",K122&lt;26,"Médio")</f>
        <v>Médio</v>
      </c>
      <c r="M122" t="str">
        <f>IF(AND(Tabela13[[#This Row],[flag_inadimplente]]="Sim",Tabela13[[#This Row],[nivel_risco]]="Alto"),"Negado","Aprovado")</f>
        <v>Aprovado</v>
      </c>
      <c r="N122" t="str">
        <f>IF(AND(Tabela13[[#This Row],[credito_tomado]]&gt;50000,Tabela13[[#This Row],[flag_inadimplente]]="Sim"),"Negado","Aprovado")</f>
        <v>Aprovado</v>
      </c>
      <c r="O122" s="4">
        <f>IF(AND(Tabela13[[#This Row],[analise_risco]]="Negado",Tabela13[[#This Row],[analise_credito]]="Negado"),0,IF(Tabela13[[#This Row],[status]]="Ativo",Tabela13[[#This Row],[valor_solicitado]]*8%,0))</f>
        <v>0</v>
      </c>
      <c r="P122" s="4">
        <v>47000</v>
      </c>
    </row>
    <row r="123" spans="1:16">
      <c r="A123" t="s">
        <v>71</v>
      </c>
      <c r="B123" t="s">
        <v>336</v>
      </c>
      <c r="C123" s="2" t="s">
        <v>337</v>
      </c>
      <c r="D123" s="24">
        <v>38</v>
      </c>
      <c r="E123" s="3">
        <v>32066</v>
      </c>
      <c r="F123" t="s">
        <v>74</v>
      </c>
      <c r="G123" t="s">
        <v>75</v>
      </c>
      <c r="H123" s="4">
        <v>9700</v>
      </c>
      <c r="I123" s="4">
        <v>25000</v>
      </c>
      <c r="J123" s="5" t="s">
        <v>45</v>
      </c>
      <c r="K123" s="6">
        <v>0</v>
      </c>
      <c r="L123" t="str" cm="1">
        <f t="array" ref="L123">_xlfn.IFS(K123&gt;=26,"Alto",K123&lt;11,"Baixo",K123&lt;26,"Médio")</f>
        <v>Baixo</v>
      </c>
      <c r="M123" t="str">
        <f>IF(AND(Tabela13[[#This Row],[flag_inadimplente]]="Sim",Tabela13[[#This Row],[nivel_risco]]="Alto"),"Negado","Aprovado")</f>
        <v>Aprovado</v>
      </c>
      <c r="N123" t="str">
        <f>IF(AND(Tabela13[[#This Row],[credito_tomado]]&gt;50000,Tabela13[[#This Row],[flag_inadimplente]]="Sim"),"Negado","Aprovado")</f>
        <v>Aprovado</v>
      </c>
      <c r="O123" s="4">
        <f>IF(AND(Tabela13[[#This Row],[analise_risco]]="Negado",Tabela13[[#This Row],[analise_credito]]="Negado"),0,IF(Tabela13[[#This Row],[status]]="Ativo",Tabela13[[#This Row],[valor_solicitado]]*8%,0))</f>
        <v>4440</v>
      </c>
      <c r="P123" s="4">
        <v>55500</v>
      </c>
    </row>
    <row r="124" spans="1:16">
      <c r="A124" t="s">
        <v>85</v>
      </c>
      <c r="B124" t="s">
        <v>338</v>
      </c>
      <c r="C124" s="2" t="s">
        <v>339</v>
      </c>
      <c r="D124" s="24">
        <v>26</v>
      </c>
      <c r="E124" s="3">
        <v>36540</v>
      </c>
      <c r="F124" t="s">
        <v>122</v>
      </c>
      <c r="G124" t="s">
        <v>123</v>
      </c>
      <c r="H124" s="4">
        <v>24000</v>
      </c>
      <c r="I124" s="4">
        <v>52000</v>
      </c>
      <c r="J124" s="5" t="s">
        <v>45</v>
      </c>
      <c r="K124" s="6">
        <v>30</v>
      </c>
      <c r="L124" t="str" cm="1">
        <f t="array" ref="L124">_xlfn.IFS(K124&gt;=26,"Alto",K124&lt;11,"Baixo",K124&lt;26,"Médio")</f>
        <v>Alto</v>
      </c>
      <c r="M124" t="str">
        <f>IF(AND(Tabela13[[#This Row],[flag_inadimplente]]="Sim",Tabela13[[#This Row],[nivel_risco]]="Alto"),"Negado","Aprovado")</f>
        <v>Aprovado</v>
      </c>
      <c r="N124" t="str">
        <f>IF(AND(Tabela13[[#This Row],[credito_tomado]]&gt;50000,Tabela13[[#This Row],[flag_inadimplente]]="Sim"),"Negado","Aprovado")</f>
        <v>Aprovado</v>
      </c>
      <c r="O124" s="4">
        <f>IF(AND(Tabela13[[#This Row],[analise_risco]]="Negado",Tabela13[[#This Row],[analise_credito]]="Negado"),0,IF(Tabela13[[#This Row],[status]]="Ativo",Tabela13[[#This Row],[valor_solicitado]]*8%,0))</f>
        <v>0</v>
      </c>
      <c r="P124" s="4">
        <v>62500</v>
      </c>
    </row>
    <row r="125" spans="1:16">
      <c r="A125" t="s">
        <v>85</v>
      </c>
      <c r="B125" t="s">
        <v>338</v>
      </c>
      <c r="C125" s="2" t="s">
        <v>339</v>
      </c>
      <c r="D125" s="24">
        <v>26</v>
      </c>
      <c r="E125" s="3">
        <v>36540</v>
      </c>
      <c r="F125" t="s">
        <v>122</v>
      </c>
      <c r="G125" t="s">
        <v>123</v>
      </c>
      <c r="H125" s="4">
        <v>24000</v>
      </c>
      <c r="I125" s="4">
        <v>52000</v>
      </c>
      <c r="J125" s="5" t="s">
        <v>45</v>
      </c>
      <c r="K125" s="6">
        <v>30</v>
      </c>
      <c r="L125" t="str" cm="1">
        <f t="array" ref="L125">_xlfn.IFS(K125&gt;=26,"Alto",K125&lt;11,"Baixo",K125&lt;26,"Médio")</f>
        <v>Alto</v>
      </c>
      <c r="M125" t="str">
        <f>IF(AND(Tabela13[[#This Row],[flag_inadimplente]]="Sim",Tabela13[[#This Row],[nivel_risco]]="Alto"),"Negado","Aprovado")</f>
        <v>Aprovado</v>
      </c>
      <c r="N125" t="str">
        <f>IF(AND(Tabela13[[#This Row],[credito_tomado]]&gt;50000,Tabela13[[#This Row],[flag_inadimplente]]="Sim"),"Negado","Aprovado")</f>
        <v>Aprovado</v>
      </c>
      <c r="O125" s="4">
        <f>IF(AND(Tabela13[[#This Row],[analise_risco]]="Negado",Tabela13[[#This Row],[analise_credito]]="Negado"),0,IF(Tabela13[[#This Row],[status]]="Ativo",Tabela13[[#This Row],[valor_solicitado]]*8%,0))</f>
        <v>0</v>
      </c>
      <c r="P125" s="4">
        <v>11500</v>
      </c>
    </row>
    <row r="126" spans="1:16">
      <c r="A126" t="s">
        <v>71</v>
      </c>
      <c r="B126" t="s">
        <v>340</v>
      </c>
      <c r="C126" s="2" t="s">
        <v>341</v>
      </c>
      <c r="D126" s="24">
        <v>48</v>
      </c>
      <c r="E126" s="3">
        <v>28689</v>
      </c>
      <c r="F126" t="s">
        <v>216</v>
      </c>
      <c r="G126" t="s">
        <v>94</v>
      </c>
      <c r="H126" s="4">
        <v>18700</v>
      </c>
      <c r="I126" s="4">
        <v>11000</v>
      </c>
      <c r="J126" s="5" t="s">
        <v>45</v>
      </c>
      <c r="K126" s="6">
        <v>28</v>
      </c>
      <c r="L126" t="str" cm="1">
        <f t="array" ref="L126">_xlfn.IFS(K126&gt;=26,"Alto",K126&lt;11,"Baixo",K126&lt;26,"Médio")</f>
        <v>Alto</v>
      </c>
      <c r="M126" t="str">
        <f>IF(AND(Tabela13[[#This Row],[flag_inadimplente]]="Sim",Tabela13[[#This Row],[nivel_risco]]="Alto"),"Negado","Aprovado")</f>
        <v>Aprovado</v>
      </c>
      <c r="N126" t="str">
        <f>IF(AND(Tabela13[[#This Row],[credito_tomado]]&gt;50000,Tabela13[[#This Row],[flag_inadimplente]]="Sim"),"Negado","Aprovado")</f>
        <v>Aprovado</v>
      </c>
      <c r="O126" s="4">
        <f>IF(AND(Tabela13[[#This Row],[analise_risco]]="Negado",Tabela13[[#This Row],[analise_credito]]="Negado"),0,IF(Tabela13[[#This Row],[status]]="Ativo",Tabela13[[#This Row],[valor_solicitado]]*8%,0))</f>
        <v>1440</v>
      </c>
      <c r="P126" s="4">
        <v>18000</v>
      </c>
    </row>
    <row r="127" spans="1:16">
      <c r="A127" t="s">
        <v>85</v>
      </c>
      <c r="B127" t="s">
        <v>342</v>
      </c>
      <c r="C127" s="2" t="s">
        <v>343</v>
      </c>
      <c r="D127" s="24">
        <v>35</v>
      </c>
      <c r="E127" s="3">
        <v>33417</v>
      </c>
      <c r="F127" t="s">
        <v>78</v>
      </c>
      <c r="G127" t="s">
        <v>79</v>
      </c>
      <c r="H127" s="4">
        <v>12400</v>
      </c>
      <c r="I127" s="4">
        <v>0</v>
      </c>
      <c r="J127" s="5" t="s">
        <v>45</v>
      </c>
      <c r="K127" s="6">
        <v>3</v>
      </c>
      <c r="L127" t="str" cm="1">
        <f t="array" ref="L127">_xlfn.IFS(K127&gt;=26,"Alto",K127&lt;11,"Baixo",K127&lt;26,"Médio")</f>
        <v>Baixo</v>
      </c>
      <c r="M127" t="str">
        <f>IF(AND(Tabela13[[#This Row],[flag_inadimplente]]="Sim",Tabela13[[#This Row],[nivel_risco]]="Alto"),"Negado","Aprovado")</f>
        <v>Aprovado</v>
      </c>
      <c r="N127" t="str">
        <f>IF(AND(Tabela13[[#This Row],[credito_tomado]]&gt;50000,Tabela13[[#This Row],[flag_inadimplente]]="Sim"),"Negado","Aprovado")</f>
        <v>Aprovado</v>
      </c>
      <c r="O127" s="4">
        <f>IF(AND(Tabela13[[#This Row],[analise_risco]]="Negado",Tabela13[[#This Row],[analise_credito]]="Negado"),0,IF(Tabela13[[#This Row],[status]]="Ativo",Tabela13[[#This Row],[valor_solicitado]]*8%,0))</f>
        <v>0</v>
      </c>
      <c r="P127" s="4">
        <v>83500</v>
      </c>
    </row>
    <row r="128" spans="1:16">
      <c r="A128" t="s">
        <v>71</v>
      </c>
      <c r="B128" t="s">
        <v>344</v>
      </c>
      <c r="C128" s="2" t="s">
        <v>345</v>
      </c>
      <c r="D128" s="24">
        <v>35</v>
      </c>
      <c r="E128" s="3">
        <v>33336</v>
      </c>
      <c r="F128" t="s">
        <v>107</v>
      </c>
      <c r="G128" t="s">
        <v>108</v>
      </c>
      <c r="H128" s="4">
        <v>20900</v>
      </c>
      <c r="I128" s="4">
        <v>54000</v>
      </c>
      <c r="J128" s="5" t="s">
        <v>45</v>
      </c>
      <c r="K128" s="6">
        <v>44</v>
      </c>
      <c r="L128" t="str" cm="1">
        <f t="array" ref="L128">_xlfn.IFS(K128&gt;=26,"Alto",K128&lt;11,"Baixo",K128&lt;26,"Médio")</f>
        <v>Alto</v>
      </c>
      <c r="M128" t="str">
        <f>IF(AND(Tabela13[[#This Row],[flag_inadimplente]]="Sim",Tabela13[[#This Row],[nivel_risco]]="Alto"),"Negado","Aprovado")</f>
        <v>Aprovado</v>
      </c>
      <c r="N128" t="str">
        <f>IF(AND(Tabela13[[#This Row],[credito_tomado]]&gt;50000,Tabela13[[#This Row],[flag_inadimplente]]="Sim"),"Negado","Aprovado")</f>
        <v>Aprovado</v>
      </c>
      <c r="O128" s="4">
        <f>IF(AND(Tabela13[[#This Row],[analise_risco]]="Negado",Tabela13[[#This Row],[analise_credito]]="Negado"),0,IF(Tabela13[[#This Row],[status]]="Ativo",Tabela13[[#This Row],[valor_solicitado]]*8%,0))</f>
        <v>1440</v>
      </c>
      <c r="P128" s="4">
        <v>18000</v>
      </c>
    </row>
    <row r="129" spans="1:16">
      <c r="A129" t="s">
        <v>85</v>
      </c>
      <c r="B129" t="s">
        <v>346</v>
      </c>
      <c r="C129" s="2" t="s">
        <v>347</v>
      </c>
      <c r="D129" s="24">
        <v>33</v>
      </c>
      <c r="E129" s="3">
        <v>33989</v>
      </c>
      <c r="F129" t="s">
        <v>152</v>
      </c>
      <c r="G129" t="s">
        <v>123</v>
      </c>
      <c r="H129" s="4">
        <v>23400</v>
      </c>
      <c r="I129" s="4">
        <v>59000</v>
      </c>
      <c r="J129" s="5" t="s">
        <v>348</v>
      </c>
      <c r="K129" s="6">
        <v>35</v>
      </c>
      <c r="L129" t="str" cm="1">
        <f t="array" ref="L129">_xlfn.IFS(K129&gt;=26,"Alto",K129&lt;11,"Baixo",K129&lt;26,"Médio")</f>
        <v>Alto</v>
      </c>
      <c r="M129" t="str">
        <f>IF(AND(Tabela13[[#This Row],[flag_inadimplente]]="Sim",Tabela13[[#This Row],[nivel_risco]]="Alto"),"Negado","Aprovado")</f>
        <v>Negado</v>
      </c>
      <c r="N129" t="str">
        <f>IF(AND(Tabela13[[#This Row],[credito_tomado]]&gt;50000,Tabela13[[#This Row],[flag_inadimplente]]="Sim"),"Negado","Aprovado")</f>
        <v>Negado</v>
      </c>
      <c r="O129" s="4">
        <f>IF(AND(Tabela13[[#This Row],[analise_risco]]="Negado",Tabela13[[#This Row],[analise_credito]]="Negado"),0,IF(Tabela13[[#This Row],[status]]="Ativo",Tabela13[[#This Row],[valor_solicitado]]*8%,0))</f>
        <v>0</v>
      </c>
      <c r="P129" s="4">
        <v>39000</v>
      </c>
    </row>
    <row r="130" spans="1:16">
      <c r="A130" t="s">
        <v>71</v>
      </c>
      <c r="B130" t="s">
        <v>349</v>
      </c>
      <c r="C130" s="2" t="s">
        <v>211</v>
      </c>
      <c r="D130" s="24">
        <v>24</v>
      </c>
      <c r="E130" s="3" t="s">
        <v>211</v>
      </c>
      <c r="F130" t="s">
        <v>122</v>
      </c>
      <c r="G130" t="s">
        <v>123</v>
      </c>
      <c r="H130" s="4">
        <v>17000</v>
      </c>
      <c r="I130" s="4">
        <v>41000</v>
      </c>
      <c r="J130" s="5" t="s">
        <v>45</v>
      </c>
      <c r="K130" s="6">
        <v>37</v>
      </c>
      <c r="L130" t="str" cm="1">
        <f t="array" ref="L130">_xlfn.IFS(K130&gt;=26,"Alto",K130&lt;11,"Baixo",K130&lt;26,"Médio")</f>
        <v>Alto</v>
      </c>
      <c r="M130" t="str">
        <f>IF(AND(Tabela13[[#This Row],[flag_inadimplente]]="Sim",Tabela13[[#This Row],[nivel_risco]]="Alto"),"Negado","Aprovado")</f>
        <v>Aprovado</v>
      </c>
      <c r="N130" t="str">
        <f>IF(AND(Tabela13[[#This Row],[credito_tomado]]&gt;50000,Tabela13[[#This Row],[flag_inadimplente]]="Sim"),"Negado","Aprovado")</f>
        <v>Aprovado</v>
      </c>
      <c r="O130" s="4">
        <f>IF(AND(Tabela13[[#This Row],[analise_risco]]="Negado",Tabela13[[#This Row],[analise_credito]]="Negado"),0,IF(Tabela13[[#This Row],[status]]="Ativo",Tabela13[[#This Row],[valor_solicitado]]*8%,0))</f>
        <v>2640</v>
      </c>
      <c r="P130" s="4">
        <v>33000</v>
      </c>
    </row>
    <row r="131" spans="1:16">
      <c r="A131" t="s">
        <v>71</v>
      </c>
      <c r="B131" t="s">
        <v>350</v>
      </c>
      <c r="C131" s="2" t="s">
        <v>351</v>
      </c>
      <c r="D131" s="24">
        <v>33</v>
      </c>
      <c r="E131" s="3">
        <v>34021</v>
      </c>
      <c r="F131" t="s">
        <v>216</v>
      </c>
      <c r="G131" t="s">
        <v>94</v>
      </c>
      <c r="H131" s="4" t="s">
        <v>80</v>
      </c>
      <c r="I131" s="4">
        <v>73500</v>
      </c>
      <c r="J131" s="5" t="s">
        <v>45</v>
      </c>
      <c r="K131" s="6">
        <v>33</v>
      </c>
      <c r="L131" t="str" cm="1">
        <f t="array" ref="L131">_xlfn.IFS(K131&gt;=26,"Alto",K131&lt;11,"Baixo",K131&lt;26,"Médio")</f>
        <v>Alto</v>
      </c>
      <c r="M131" t="str">
        <f>IF(AND(Tabela13[[#This Row],[flag_inadimplente]]="Sim",Tabela13[[#This Row],[nivel_risco]]="Alto"),"Negado","Aprovado")</f>
        <v>Aprovado</v>
      </c>
      <c r="N131" t="str">
        <f>IF(AND(Tabela13[[#This Row],[credito_tomado]]&gt;50000,Tabela13[[#This Row],[flag_inadimplente]]="Sim"),"Negado","Aprovado")</f>
        <v>Aprovado</v>
      </c>
      <c r="O131" s="4">
        <f>IF(AND(Tabela13[[#This Row],[analise_risco]]="Negado",Tabela13[[#This Row],[analise_credito]]="Negado"),0,IF(Tabela13[[#This Row],[status]]="Ativo",Tabela13[[#This Row],[valor_solicitado]]*8%,0))</f>
        <v>7600</v>
      </c>
      <c r="P131" s="4">
        <v>95000</v>
      </c>
    </row>
    <row r="132" spans="1:16">
      <c r="A132" t="s">
        <v>85</v>
      </c>
      <c r="B132" t="s">
        <v>352</v>
      </c>
      <c r="C132" s="2" t="s">
        <v>353</v>
      </c>
      <c r="D132" s="24">
        <v>66</v>
      </c>
      <c r="E132" s="3">
        <v>22039</v>
      </c>
      <c r="F132" t="s">
        <v>90</v>
      </c>
      <c r="G132" t="s">
        <v>90</v>
      </c>
      <c r="H132" s="4">
        <v>14300</v>
      </c>
      <c r="I132" s="4">
        <v>78000</v>
      </c>
      <c r="J132" s="5" t="s">
        <v>45</v>
      </c>
      <c r="K132" s="6">
        <v>28</v>
      </c>
      <c r="L132" t="str" cm="1">
        <f t="array" ref="L132">_xlfn.IFS(K132&gt;=26,"Alto",K132&lt;11,"Baixo",K132&lt;26,"Médio")</f>
        <v>Alto</v>
      </c>
      <c r="M132" t="str">
        <f>IF(AND(Tabela13[[#This Row],[flag_inadimplente]]="Sim",Tabela13[[#This Row],[nivel_risco]]="Alto"),"Negado","Aprovado")</f>
        <v>Aprovado</v>
      </c>
      <c r="N132" t="str">
        <f>IF(AND(Tabela13[[#This Row],[credito_tomado]]&gt;50000,Tabela13[[#This Row],[flag_inadimplente]]="Sim"),"Negado","Aprovado")</f>
        <v>Aprovado</v>
      </c>
      <c r="O132" s="4">
        <f>IF(AND(Tabela13[[#This Row],[analise_risco]]="Negado",Tabela13[[#This Row],[analise_credito]]="Negado"),0,IF(Tabela13[[#This Row],[status]]="Ativo",Tabela13[[#This Row],[valor_solicitado]]*8%,0))</f>
        <v>0</v>
      </c>
      <c r="P132" s="4">
        <v>74500</v>
      </c>
    </row>
    <row r="133" spans="1:16">
      <c r="A133" t="s">
        <v>85</v>
      </c>
      <c r="B133" t="s">
        <v>354</v>
      </c>
      <c r="C133" s="2" t="s">
        <v>355</v>
      </c>
      <c r="D133" s="24">
        <v>66</v>
      </c>
      <c r="E133" s="3">
        <v>21873</v>
      </c>
      <c r="F133" t="s">
        <v>147</v>
      </c>
      <c r="G133" t="s">
        <v>98</v>
      </c>
      <c r="H133" s="4">
        <v>9900</v>
      </c>
      <c r="I133" s="4">
        <v>42000</v>
      </c>
      <c r="J133" s="5" t="s">
        <v>45</v>
      </c>
      <c r="K133" s="6">
        <v>13</v>
      </c>
      <c r="L133" t="str" cm="1">
        <f t="array" ref="L133">_xlfn.IFS(K133&gt;=26,"Alto",K133&lt;11,"Baixo",K133&lt;26,"Médio")</f>
        <v>Médio</v>
      </c>
      <c r="M133" t="str">
        <f>IF(AND(Tabela13[[#This Row],[flag_inadimplente]]="Sim",Tabela13[[#This Row],[nivel_risco]]="Alto"),"Negado","Aprovado")</f>
        <v>Aprovado</v>
      </c>
      <c r="N133" t="str">
        <f>IF(AND(Tabela13[[#This Row],[credito_tomado]]&gt;50000,Tabela13[[#This Row],[flag_inadimplente]]="Sim"),"Negado","Aprovado")</f>
        <v>Aprovado</v>
      </c>
      <c r="O133" s="4">
        <f>IF(AND(Tabela13[[#This Row],[analise_risco]]="Negado",Tabela13[[#This Row],[analise_credito]]="Negado"),0,IF(Tabela13[[#This Row],[status]]="Ativo",Tabela13[[#This Row],[valor_solicitado]]*8%,0))</f>
        <v>0</v>
      </c>
      <c r="P133" s="4">
        <v>37000</v>
      </c>
    </row>
    <row r="134" spans="1:16">
      <c r="A134" t="s">
        <v>71</v>
      </c>
      <c r="B134" t="s">
        <v>356</v>
      </c>
      <c r="C134" s="2" t="s">
        <v>357</v>
      </c>
      <c r="D134" s="24">
        <v>27</v>
      </c>
      <c r="E134" s="3">
        <v>36319</v>
      </c>
      <c r="F134" t="s">
        <v>216</v>
      </c>
      <c r="G134" t="s">
        <v>94</v>
      </c>
      <c r="H134" s="4">
        <v>28800</v>
      </c>
      <c r="I134" s="4">
        <v>78500</v>
      </c>
      <c r="J134" s="5" t="s">
        <v>45</v>
      </c>
      <c r="K134" s="6">
        <v>2</v>
      </c>
      <c r="L134" t="str" cm="1">
        <f t="array" ref="L134">_xlfn.IFS(K134&gt;=26,"Alto",K134&lt;11,"Baixo",K134&lt;26,"Médio")</f>
        <v>Baixo</v>
      </c>
      <c r="M134" t="str">
        <f>IF(AND(Tabela13[[#This Row],[flag_inadimplente]]="Sim",Tabela13[[#This Row],[nivel_risco]]="Alto"),"Negado","Aprovado")</f>
        <v>Aprovado</v>
      </c>
      <c r="N134" t="str">
        <f>IF(AND(Tabela13[[#This Row],[credito_tomado]]&gt;50000,Tabela13[[#This Row],[flag_inadimplente]]="Sim"),"Negado","Aprovado")</f>
        <v>Aprovado</v>
      </c>
      <c r="O134" s="4">
        <f>IF(AND(Tabela13[[#This Row],[analise_risco]]="Negado",Tabela13[[#This Row],[analise_credito]]="Negado"),0,IF(Tabela13[[#This Row],[status]]="Ativo",Tabela13[[#This Row],[valor_solicitado]]*8%,0))</f>
        <v>4240</v>
      </c>
      <c r="P134" s="4">
        <v>53000</v>
      </c>
    </row>
    <row r="135" spans="1:16">
      <c r="A135" t="s">
        <v>71</v>
      </c>
      <c r="B135" t="s">
        <v>358</v>
      </c>
      <c r="C135" s="2" t="s">
        <v>359</v>
      </c>
      <c r="D135" s="24">
        <v>25</v>
      </c>
      <c r="E135" s="3">
        <v>37137</v>
      </c>
      <c r="F135" t="s">
        <v>107</v>
      </c>
      <c r="G135" t="s">
        <v>108</v>
      </c>
      <c r="H135" s="4" t="s">
        <v>80</v>
      </c>
      <c r="I135" s="4">
        <v>21000</v>
      </c>
      <c r="J135" s="5" t="s">
        <v>45</v>
      </c>
      <c r="K135" s="6">
        <v>34</v>
      </c>
      <c r="L135" t="str" cm="1">
        <f t="array" ref="L135">_xlfn.IFS(K135&gt;=26,"Alto",K135&lt;11,"Baixo",K135&lt;26,"Médio")</f>
        <v>Alto</v>
      </c>
      <c r="M135" t="str">
        <f>IF(AND(Tabela13[[#This Row],[flag_inadimplente]]="Sim",Tabela13[[#This Row],[nivel_risco]]="Alto"),"Negado","Aprovado")</f>
        <v>Aprovado</v>
      </c>
      <c r="N135" t="str">
        <f>IF(AND(Tabela13[[#This Row],[credito_tomado]]&gt;50000,Tabela13[[#This Row],[flag_inadimplente]]="Sim"),"Negado","Aprovado")</f>
        <v>Aprovado</v>
      </c>
      <c r="O135" s="4">
        <f>IF(AND(Tabela13[[#This Row],[analise_risco]]="Negado",Tabela13[[#This Row],[analise_credito]]="Negado"),0,IF(Tabela13[[#This Row],[status]]="Ativo",Tabela13[[#This Row],[valor_solicitado]]*8%,0))</f>
        <v>600</v>
      </c>
      <c r="P135" s="4">
        <v>7500</v>
      </c>
    </row>
    <row r="136" spans="1:16">
      <c r="A136" t="s">
        <v>71</v>
      </c>
      <c r="B136" t="s">
        <v>360</v>
      </c>
      <c r="C136" s="2" t="s">
        <v>361</v>
      </c>
      <c r="D136" s="24">
        <v>37</v>
      </c>
      <c r="E136" s="3">
        <v>32412</v>
      </c>
      <c r="F136" t="s">
        <v>147</v>
      </c>
      <c r="G136" t="s">
        <v>98</v>
      </c>
      <c r="H136" s="4">
        <v>24700</v>
      </c>
      <c r="I136" s="4">
        <v>23000</v>
      </c>
      <c r="J136" s="5" t="s">
        <v>46</v>
      </c>
      <c r="K136" s="6">
        <v>40</v>
      </c>
      <c r="L136" t="str" cm="1">
        <f t="array" ref="L136">_xlfn.IFS(K136&gt;=26,"Alto",K136&lt;11,"Baixo",K136&lt;26,"Médio")</f>
        <v>Alto</v>
      </c>
      <c r="M136" t="str">
        <f>IF(AND(Tabela13[[#This Row],[flag_inadimplente]]="Sim",Tabela13[[#This Row],[nivel_risco]]="Alto"),"Negado","Aprovado")</f>
        <v>Negado</v>
      </c>
      <c r="N136" t="str">
        <f>IF(AND(Tabela13[[#This Row],[credito_tomado]]&gt;50000,Tabela13[[#This Row],[flag_inadimplente]]="Sim"),"Negado","Aprovado")</f>
        <v>Aprovado</v>
      </c>
      <c r="O136" s="4">
        <f>IF(AND(Tabela13[[#This Row],[analise_risco]]="Negado",Tabela13[[#This Row],[analise_credito]]="Negado"),0,IF(Tabela13[[#This Row],[status]]="Ativo",Tabela13[[#This Row],[valor_solicitado]]*8%,0))</f>
        <v>3000</v>
      </c>
      <c r="P136" s="4">
        <v>37500</v>
      </c>
    </row>
    <row r="137" spans="1:16">
      <c r="A137" t="s">
        <v>85</v>
      </c>
      <c r="B137" t="s">
        <v>362</v>
      </c>
      <c r="C137" s="2" t="s">
        <v>363</v>
      </c>
      <c r="D137" s="24">
        <v>47</v>
      </c>
      <c r="E137" s="3">
        <v>29064</v>
      </c>
      <c r="F137" t="s">
        <v>83</v>
      </c>
      <c r="G137" t="s">
        <v>84</v>
      </c>
      <c r="H137" s="4">
        <v>13300</v>
      </c>
      <c r="I137" s="4">
        <v>1000</v>
      </c>
      <c r="J137" s="5" t="s">
        <v>46</v>
      </c>
      <c r="K137" s="6">
        <v>24</v>
      </c>
      <c r="L137" t="str" cm="1">
        <f t="array" ref="L137">_xlfn.IFS(K137&gt;=26,"Alto",K137&lt;11,"Baixo",K137&lt;26,"Médio")</f>
        <v>Médio</v>
      </c>
      <c r="M137" t="str">
        <f>IF(AND(Tabela13[[#This Row],[flag_inadimplente]]="Sim",Tabela13[[#This Row],[nivel_risco]]="Alto"),"Negado","Aprovado")</f>
        <v>Aprovado</v>
      </c>
      <c r="N137" t="str">
        <f>IF(AND(Tabela13[[#This Row],[credito_tomado]]&gt;50000,Tabela13[[#This Row],[flag_inadimplente]]="Sim"),"Negado","Aprovado")</f>
        <v>Aprovado</v>
      </c>
      <c r="O137" s="4">
        <f>IF(AND(Tabela13[[#This Row],[analise_risco]]="Negado",Tabela13[[#This Row],[analise_credito]]="Negado"),0,IF(Tabela13[[#This Row],[status]]="Ativo",Tabela13[[#This Row],[valor_solicitado]]*8%,0))</f>
        <v>0</v>
      </c>
      <c r="P137" s="4">
        <v>61500</v>
      </c>
    </row>
    <row r="138" spans="1:16">
      <c r="A138" t="s">
        <v>85</v>
      </c>
      <c r="B138" t="s">
        <v>364</v>
      </c>
      <c r="C138" s="2" t="s">
        <v>365</v>
      </c>
      <c r="D138" s="24">
        <v>63</v>
      </c>
      <c r="E138" s="3">
        <v>22924</v>
      </c>
      <c r="F138" t="s">
        <v>115</v>
      </c>
      <c r="G138" t="s">
        <v>75</v>
      </c>
      <c r="H138" s="4">
        <v>29000</v>
      </c>
      <c r="I138" s="4">
        <v>36500</v>
      </c>
      <c r="J138" s="5" t="s">
        <v>45</v>
      </c>
      <c r="K138" s="6">
        <v>38</v>
      </c>
      <c r="L138" t="str" cm="1">
        <f t="array" ref="L138">_xlfn.IFS(K138&gt;=26,"Alto",K138&lt;11,"Baixo",K138&lt;26,"Médio")</f>
        <v>Alto</v>
      </c>
      <c r="M138" t="str">
        <f>IF(AND(Tabela13[[#This Row],[flag_inadimplente]]="Sim",Tabela13[[#This Row],[nivel_risco]]="Alto"),"Negado","Aprovado")</f>
        <v>Aprovado</v>
      </c>
      <c r="N138" t="str">
        <f>IF(AND(Tabela13[[#This Row],[credito_tomado]]&gt;50000,Tabela13[[#This Row],[flag_inadimplente]]="Sim"),"Negado","Aprovado")</f>
        <v>Aprovado</v>
      </c>
      <c r="O138" s="4">
        <f>IF(AND(Tabela13[[#This Row],[analise_risco]]="Negado",Tabela13[[#This Row],[analise_credito]]="Negado"),0,IF(Tabela13[[#This Row],[status]]="Ativo",Tabela13[[#This Row],[valor_solicitado]]*8%,0))</f>
        <v>0</v>
      </c>
      <c r="P138" s="4">
        <v>47000</v>
      </c>
    </row>
    <row r="139" spans="1:16">
      <c r="A139" t="s">
        <v>85</v>
      </c>
      <c r="B139" t="s">
        <v>364</v>
      </c>
      <c r="C139" s="2" t="s">
        <v>365</v>
      </c>
      <c r="D139" s="24">
        <v>63</v>
      </c>
      <c r="E139" s="3">
        <v>22924</v>
      </c>
      <c r="F139" t="s">
        <v>115</v>
      </c>
      <c r="G139" t="s">
        <v>75</v>
      </c>
      <c r="H139" s="4">
        <v>29000</v>
      </c>
      <c r="I139" s="4">
        <v>36500</v>
      </c>
      <c r="J139" s="5" t="s">
        <v>45</v>
      </c>
      <c r="K139" s="6">
        <v>38</v>
      </c>
      <c r="L139" t="str" cm="1">
        <f t="array" ref="L139">_xlfn.IFS(K139&gt;=26,"Alto",K139&lt;11,"Baixo",K139&lt;26,"Médio")</f>
        <v>Alto</v>
      </c>
      <c r="M139" t="str">
        <f>IF(AND(Tabela13[[#This Row],[flag_inadimplente]]="Sim",Tabela13[[#This Row],[nivel_risco]]="Alto"),"Negado","Aprovado")</f>
        <v>Aprovado</v>
      </c>
      <c r="N139" t="str">
        <f>IF(AND(Tabela13[[#This Row],[credito_tomado]]&gt;50000,Tabela13[[#This Row],[flag_inadimplente]]="Sim"),"Negado","Aprovado")</f>
        <v>Aprovado</v>
      </c>
      <c r="O139" s="4">
        <f>IF(AND(Tabela13[[#This Row],[analise_risco]]="Negado",Tabela13[[#This Row],[analise_credito]]="Negado"),0,IF(Tabela13[[#This Row],[status]]="Ativo",Tabela13[[#This Row],[valor_solicitado]]*8%,0))</f>
        <v>0</v>
      </c>
      <c r="P139" s="4">
        <v>68000</v>
      </c>
    </row>
    <row r="140" spans="1:16">
      <c r="A140" t="s">
        <v>85</v>
      </c>
      <c r="B140" t="s">
        <v>366</v>
      </c>
      <c r="C140" s="2" t="s">
        <v>367</v>
      </c>
      <c r="D140" s="24">
        <v>58</v>
      </c>
      <c r="E140" s="3">
        <v>24726</v>
      </c>
      <c r="F140" t="s">
        <v>74</v>
      </c>
      <c r="G140" t="s">
        <v>75</v>
      </c>
      <c r="H140" s="4">
        <v>20100</v>
      </c>
      <c r="I140" s="4">
        <v>40000</v>
      </c>
      <c r="J140" s="5" t="s">
        <v>45</v>
      </c>
      <c r="K140" s="6">
        <v>16</v>
      </c>
      <c r="L140" t="str" cm="1">
        <f t="array" ref="L140">_xlfn.IFS(K140&gt;=26,"Alto",K140&lt;11,"Baixo",K140&lt;26,"Médio")</f>
        <v>Médio</v>
      </c>
      <c r="M140" t="str">
        <f>IF(AND(Tabela13[[#This Row],[flag_inadimplente]]="Sim",Tabela13[[#This Row],[nivel_risco]]="Alto"),"Negado","Aprovado")</f>
        <v>Aprovado</v>
      </c>
      <c r="N140" t="str">
        <f>IF(AND(Tabela13[[#This Row],[credito_tomado]]&gt;50000,Tabela13[[#This Row],[flag_inadimplente]]="Sim"),"Negado","Aprovado")</f>
        <v>Aprovado</v>
      </c>
      <c r="O140" s="4">
        <f>IF(AND(Tabela13[[#This Row],[analise_risco]]="Negado",Tabela13[[#This Row],[analise_credito]]="Negado"),0,IF(Tabela13[[#This Row],[status]]="Ativo",Tabela13[[#This Row],[valor_solicitado]]*8%,0))</f>
        <v>0</v>
      </c>
      <c r="P140" s="4">
        <v>98500</v>
      </c>
    </row>
    <row r="141" spans="1:16">
      <c r="A141" t="s">
        <v>71</v>
      </c>
      <c r="B141" t="s">
        <v>368</v>
      </c>
      <c r="C141" s="2" t="s">
        <v>369</v>
      </c>
      <c r="D141" s="24">
        <v>69</v>
      </c>
      <c r="E141" s="3" t="s">
        <v>80</v>
      </c>
      <c r="F141" t="s">
        <v>93</v>
      </c>
      <c r="G141" t="s">
        <v>94</v>
      </c>
      <c r="H141" s="4">
        <v>11400</v>
      </c>
      <c r="I141" s="4">
        <v>0</v>
      </c>
      <c r="J141" s="5" t="s">
        <v>348</v>
      </c>
      <c r="K141" s="6">
        <v>13</v>
      </c>
      <c r="L141" t="str" cm="1">
        <f t="array" ref="L141">_xlfn.IFS(K141&gt;=26,"Alto",K141&lt;11,"Baixo",K141&lt;26,"Médio")</f>
        <v>Médio</v>
      </c>
      <c r="M141" t="str">
        <f>IF(AND(Tabela13[[#This Row],[flag_inadimplente]]="Sim",Tabela13[[#This Row],[nivel_risco]]="Alto"),"Negado","Aprovado")</f>
        <v>Aprovado</v>
      </c>
      <c r="N141" t="str">
        <f>IF(AND(Tabela13[[#This Row],[credito_tomado]]&gt;50000,Tabela13[[#This Row],[flag_inadimplente]]="Sim"),"Negado","Aprovado")</f>
        <v>Aprovado</v>
      </c>
      <c r="O141" s="4">
        <f>IF(AND(Tabela13[[#This Row],[analise_risco]]="Negado",Tabela13[[#This Row],[analise_credito]]="Negado"),0,IF(Tabela13[[#This Row],[status]]="Ativo",Tabela13[[#This Row],[valor_solicitado]]*8%,0))</f>
        <v>6320</v>
      </c>
      <c r="P141" s="4">
        <v>79000</v>
      </c>
    </row>
    <row r="142" spans="1:16">
      <c r="A142" t="s">
        <v>71</v>
      </c>
      <c r="B142" t="s">
        <v>370</v>
      </c>
      <c r="C142" s="2" t="s">
        <v>371</v>
      </c>
      <c r="D142" s="24">
        <v>32</v>
      </c>
      <c r="E142" s="3">
        <v>34299</v>
      </c>
      <c r="F142" t="s">
        <v>107</v>
      </c>
      <c r="G142" t="s">
        <v>108</v>
      </c>
      <c r="H142" s="4">
        <v>30000</v>
      </c>
      <c r="I142" s="8" t="s">
        <v>80</v>
      </c>
      <c r="J142" s="5" t="s">
        <v>45</v>
      </c>
      <c r="K142" s="6">
        <v>5</v>
      </c>
      <c r="L142" t="str" cm="1">
        <f t="array" ref="L142">_xlfn.IFS(K142&gt;=26,"Alto",K142&lt;11,"Baixo",K142&lt;26,"Médio")</f>
        <v>Baixo</v>
      </c>
      <c r="M142" t="str">
        <f>IF(AND(Tabela13[[#This Row],[flag_inadimplente]]="Sim",Tabela13[[#This Row],[nivel_risco]]="Alto"),"Negado","Aprovado")</f>
        <v>Aprovado</v>
      </c>
      <c r="N142" t="str">
        <f>IF(AND(Tabela13[[#This Row],[credito_tomado]]&gt;50000,Tabela13[[#This Row],[flag_inadimplente]]="Sim"),"Negado","Aprovado")</f>
        <v>Aprovado</v>
      </c>
      <c r="O142" s="4">
        <f>IF(AND(Tabela13[[#This Row],[analise_risco]]="Negado",Tabela13[[#This Row],[analise_credito]]="Negado"),0,IF(Tabela13[[#This Row],[status]]="Ativo",Tabela13[[#This Row],[valor_solicitado]]*8%,0))</f>
        <v>5200</v>
      </c>
      <c r="P142" s="4">
        <v>65000</v>
      </c>
    </row>
    <row r="143" spans="1:16">
      <c r="A143" t="s">
        <v>71</v>
      </c>
      <c r="B143" t="s">
        <v>370</v>
      </c>
      <c r="C143" s="2" t="s">
        <v>372</v>
      </c>
      <c r="D143" s="24">
        <v>48</v>
      </c>
      <c r="E143" s="3">
        <v>28408</v>
      </c>
      <c r="F143" t="s">
        <v>270</v>
      </c>
      <c r="G143" t="s">
        <v>80</v>
      </c>
      <c r="H143" s="4">
        <v>13300</v>
      </c>
      <c r="I143" s="4">
        <v>42000</v>
      </c>
      <c r="J143" s="5" t="s">
        <v>46</v>
      </c>
      <c r="K143" s="6">
        <v>27</v>
      </c>
      <c r="L143" t="str" cm="1">
        <f t="array" ref="L143">_xlfn.IFS(K143&gt;=26,"Alto",K143&lt;11,"Baixo",K143&lt;26,"Médio")</f>
        <v>Alto</v>
      </c>
      <c r="M143" t="str">
        <f>IF(AND(Tabela13[[#This Row],[flag_inadimplente]]="Sim",Tabela13[[#This Row],[nivel_risco]]="Alto"),"Negado","Aprovado")</f>
        <v>Negado</v>
      </c>
      <c r="N143" t="str">
        <f>IF(AND(Tabela13[[#This Row],[credito_tomado]]&gt;50000,Tabela13[[#This Row],[flag_inadimplente]]="Sim"),"Negado","Aprovado")</f>
        <v>Aprovado</v>
      </c>
      <c r="O143" s="4">
        <f>IF(AND(Tabela13[[#This Row],[analise_risco]]="Negado",Tabela13[[#This Row],[analise_credito]]="Negado"),0,IF(Tabela13[[#This Row],[status]]="Ativo",Tabela13[[#This Row],[valor_solicitado]]*8%,0))</f>
        <v>3200</v>
      </c>
      <c r="P143" s="4">
        <v>40000</v>
      </c>
    </row>
    <row r="144" spans="1:16">
      <c r="A144" t="s">
        <v>71</v>
      </c>
      <c r="B144" t="s">
        <v>373</v>
      </c>
      <c r="C144" s="2" t="s">
        <v>374</v>
      </c>
      <c r="D144" s="24" t="s">
        <v>80</v>
      </c>
      <c r="E144" s="3">
        <v>32796</v>
      </c>
      <c r="F144" t="s">
        <v>122</v>
      </c>
      <c r="G144" t="s">
        <v>123</v>
      </c>
      <c r="H144" s="4">
        <v>28600</v>
      </c>
      <c r="I144" s="8" t="s">
        <v>80</v>
      </c>
      <c r="J144" s="5" t="s">
        <v>45</v>
      </c>
      <c r="K144" s="6">
        <v>19</v>
      </c>
      <c r="L144" t="str" cm="1">
        <f t="array" ref="L144">_xlfn.IFS(K144&gt;=26,"Alto",K144&lt;11,"Baixo",K144&lt;26,"Médio")</f>
        <v>Médio</v>
      </c>
      <c r="M144" t="str">
        <f>IF(AND(Tabela13[[#This Row],[flag_inadimplente]]="Sim",Tabela13[[#This Row],[nivel_risco]]="Alto"),"Negado","Aprovado")</f>
        <v>Aprovado</v>
      </c>
      <c r="N144" t="str">
        <f>IF(AND(Tabela13[[#This Row],[credito_tomado]]&gt;50000,Tabela13[[#This Row],[flag_inadimplente]]="Sim"),"Negado","Aprovado")</f>
        <v>Aprovado</v>
      </c>
      <c r="O144" s="4">
        <f>IF(AND(Tabela13[[#This Row],[analise_risco]]="Negado",Tabela13[[#This Row],[analise_credito]]="Negado"),0,IF(Tabela13[[#This Row],[status]]="Ativo",Tabela13[[#This Row],[valor_solicitado]]*8%,0))</f>
        <v>7200</v>
      </c>
      <c r="P144" s="4">
        <v>90000</v>
      </c>
    </row>
    <row r="145" spans="1:16">
      <c r="A145" t="s">
        <v>71</v>
      </c>
      <c r="B145" t="s">
        <v>375</v>
      </c>
      <c r="C145" s="2" t="s">
        <v>376</v>
      </c>
      <c r="D145" s="24" t="s">
        <v>377</v>
      </c>
      <c r="E145" s="3">
        <v>37491</v>
      </c>
      <c r="F145" t="s">
        <v>90</v>
      </c>
      <c r="G145" t="s">
        <v>90</v>
      </c>
      <c r="H145" s="4">
        <v>8900</v>
      </c>
      <c r="I145" s="4">
        <v>19500</v>
      </c>
      <c r="J145" s="5" t="s">
        <v>46</v>
      </c>
      <c r="K145" s="6">
        <v>33</v>
      </c>
      <c r="L145" t="str" cm="1">
        <f t="array" ref="L145">_xlfn.IFS(K145&gt;=26,"Alto",K145&lt;11,"Baixo",K145&lt;26,"Médio")</f>
        <v>Alto</v>
      </c>
      <c r="M145" t="str">
        <f>IF(AND(Tabela13[[#This Row],[flag_inadimplente]]="Sim",Tabela13[[#This Row],[nivel_risco]]="Alto"),"Negado","Aprovado")</f>
        <v>Negado</v>
      </c>
      <c r="N145" t="str">
        <f>IF(AND(Tabela13[[#This Row],[credito_tomado]]&gt;50000,Tabela13[[#This Row],[flag_inadimplente]]="Sim"),"Negado","Aprovado")</f>
        <v>Aprovado</v>
      </c>
      <c r="O145" s="4">
        <f>IF(AND(Tabela13[[#This Row],[analise_risco]]="Negado",Tabela13[[#This Row],[analise_credito]]="Negado"),0,IF(Tabela13[[#This Row],[status]]="Ativo",Tabela13[[#This Row],[valor_solicitado]]*8%,0))</f>
        <v>7720</v>
      </c>
      <c r="P145" s="4">
        <v>96500</v>
      </c>
    </row>
    <row r="146" spans="1:16">
      <c r="A146" t="s">
        <v>71</v>
      </c>
      <c r="B146" t="s">
        <v>378</v>
      </c>
      <c r="C146" s="2" t="s">
        <v>379</v>
      </c>
      <c r="D146" s="24">
        <v>41</v>
      </c>
      <c r="E146" s="3">
        <v>30944</v>
      </c>
      <c r="F146" t="s">
        <v>216</v>
      </c>
      <c r="G146" t="s">
        <v>94</v>
      </c>
      <c r="H146" s="4">
        <v>20000</v>
      </c>
      <c r="I146" s="4">
        <v>20500</v>
      </c>
      <c r="J146" s="5" t="s">
        <v>46</v>
      </c>
      <c r="K146" s="6">
        <v>8</v>
      </c>
      <c r="L146" t="str" cm="1">
        <f t="array" ref="L146">_xlfn.IFS(K146&gt;=26,"Alto",K146&lt;11,"Baixo",K146&lt;26,"Médio")</f>
        <v>Baixo</v>
      </c>
      <c r="M146" t="str">
        <f>IF(AND(Tabela13[[#This Row],[flag_inadimplente]]="Sim",Tabela13[[#This Row],[nivel_risco]]="Alto"),"Negado","Aprovado")</f>
        <v>Aprovado</v>
      </c>
      <c r="N146" t="str">
        <f>IF(AND(Tabela13[[#This Row],[credito_tomado]]&gt;50000,Tabela13[[#This Row],[flag_inadimplente]]="Sim"),"Negado","Aprovado")</f>
        <v>Aprovado</v>
      </c>
      <c r="O146" s="4">
        <f>IF(AND(Tabela13[[#This Row],[analise_risco]]="Negado",Tabela13[[#This Row],[analise_credito]]="Negado"),0,IF(Tabela13[[#This Row],[status]]="Ativo",Tabela13[[#This Row],[valor_solicitado]]*8%,0))</f>
        <v>3520</v>
      </c>
      <c r="P146" s="4">
        <v>44000</v>
      </c>
    </row>
    <row r="147" spans="1:16">
      <c r="A147" t="s">
        <v>71</v>
      </c>
      <c r="B147" t="s">
        <v>380</v>
      </c>
      <c r="C147" s="2" t="s">
        <v>381</v>
      </c>
      <c r="D147" s="24" t="s">
        <v>382</v>
      </c>
      <c r="E147" s="3">
        <v>26161</v>
      </c>
      <c r="F147" t="s">
        <v>78</v>
      </c>
      <c r="G147" t="s">
        <v>80</v>
      </c>
      <c r="H147" s="4">
        <v>12200</v>
      </c>
      <c r="I147" s="4">
        <v>70500</v>
      </c>
      <c r="J147" s="5" t="s">
        <v>45</v>
      </c>
      <c r="K147" s="6">
        <v>33</v>
      </c>
      <c r="L147" t="str" cm="1">
        <f t="array" ref="L147">_xlfn.IFS(K147&gt;=26,"Alto",K147&lt;11,"Baixo",K147&lt;26,"Médio")</f>
        <v>Alto</v>
      </c>
      <c r="M147" t="str">
        <f>IF(AND(Tabela13[[#This Row],[flag_inadimplente]]="Sim",Tabela13[[#This Row],[nivel_risco]]="Alto"),"Negado","Aprovado")</f>
        <v>Aprovado</v>
      </c>
      <c r="N147" t="str">
        <f>IF(AND(Tabela13[[#This Row],[credito_tomado]]&gt;50000,Tabela13[[#This Row],[flag_inadimplente]]="Sim"),"Negado","Aprovado")</f>
        <v>Aprovado</v>
      </c>
      <c r="O147" s="4">
        <f>IF(AND(Tabela13[[#This Row],[analise_risco]]="Negado",Tabela13[[#This Row],[analise_credito]]="Negado"),0,IF(Tabela13[[#This Row],[status]]="Ativo",Tabela13[[#This Row],[valor_solicitado]]*8%,0))</f>
        <v>6240</v>
      </c>
      <c r="P147" s="4">
        <v>78000</v>
      </c>
    </row>
    <row r="148" spans="1:16">
      <c r="A148" t="s">
        <v>71</v>
      </c>
      <c r="B148" t="s">
        <v>383</v>
      </c>
      <c r="C148" s="2" t="s">
        <v>384</v>
      </c>
      <c r="D148" s="24">
        <v>67</v>
      </c>
      <c r="E148" s="3">
        <v>21689</v>
      </c>
      <c r="F148" t="s">
        <v>74</v>
      </c>
      <c r="G148" t="s">
        <v>75</v>
      </c>
      <c r="H148" s="4">
        <v>10700</v>
      </c>
      <c r="I148" s="4">
        <v>9000</v>
      </c>
      <c r="J148" s="5" t="s">
        <v>45</v>
      </c>
      <c r="K148" s="6">
        <v>37</v>
      </c>
      <c r="L148" t="str" cm="1">
        <f t="array" ref="L148">_xlfn.IFS(K148&gt;=26,"Alto",K148&lt;11,"Baixo",K148&lt;26,"Médio")</f>
        <v>Alto</v>
      </c>
      <c r="M148" t="str">
        <f>IF(AND(Tabela13[[#This Row],[flag_inadimplente]]="Sim",Tabela13[[#This Row],[nivel_risco]]="Alto"),"Negado","Aprovado")</f>
        <v>Aprovado</v>
      </c>
      <c r="N148" t="str">
        <f>IF(AND(Tabela13[[#This Row],[credito_tomado]]&gt;50000,Tabela13[[#This Row],[flag_inadimplente]]="Sim"),"Negado","Aprovado")</f>
        <v>Aprovado</v>
      </c>
      <c r="O148" s="4">
        <f>IF(AND(Tabela13[[#This Row],[analise_risco]]="Negado",Tabela13[[#This Row],[analise_credito]]="Negado"),0,IF(Tabela13[[#This Row],[status]]="Ativo",Tabela13[[#This Row],[valor_solicitado]]*8%,0))</f>
        <v>4240</v>
      </c>
      <c r="P148" s="4">
        <v>53000</v>
      </c>
    </row>
    <row r="149" spans="1:16">
      <c r="A149" t="s">
        <v>71</v>
      </c>
      <c r="B149" t="s">
        <v>385</v>
      </c>
      <c r="C149" s="2" t="s">
        <v>386</v>
      </c>
      <c r="D149" s="24">
        <v>65</v>
      </c>
      <c r="E149" s="3">
        <v>22297</v>
      </c>
      <c r="F149" t="s">
        <v>139</v>
      </c>
      <c r="G149" t="s">
        <v>140</v>
      </c>
      <c r="H149" s="4">
        <v>27300</v>
      </c>
      <c r="I149" s="4">
        <v>48500</v>
      </c>
      <c r="J149" s="5" t="s">
        <v>45</v>
      </c>
      <c r="K149" s="6">
        <v>29</v>
      </c>
      <c r="L149" t="str" cm="1">
        <f t="array" ref="L149">_xlfn.IFS(K149&gt;=26,"Alto",K149&lt;11,"Baixo",K149&lt;26,"Médio")</f>
        <v>Alto</v>
      </c>
      <c r="M149" t="str">
        <f>IF(AND(Tabela13[[#This Row],[flag_inadimplente]]="Sim",Tabela13[[#This Row],[nivel_risco]]="Alto"),"Negado","Aprovado")</f>
        <v>Aprovado</v>
      </c>
      <c r="N149" t="str">
        <f>IF(AND(Tabela13[[#This Row],[credito_tomado]]&gt;50000,Tabela13[[#This Row],[flag_inadimplente]]="Sim"),"Negado","Aprovado")</f>
        <v>Aprovado</v>
      </c>
      <c r="O149" s="4">
        <f>IF(AND(Tabela13[[#This Row],[analise_risco]]="Negado",Tabela13[[#This Row],[analise_credito]]="Negado"),0,IF(Tabela13[[#This Row],[status]]="Ativo",Tabela13[[#This Row],[valor_solicitado]]*8%,0))</f>
        <v>7520</v>
      </c>
      <c r="P149" s="4">
        <v>94000</v>
      </c>
    </row>
    <row r="150" spans="1:16">
      <c r="A150" t="s">
        <v>71</v>
      </c>
      <c r="B150" t="s">
        <v>387</v>
      </c>
      <c r="C150" s="2" t="s">
        <v>388</v>
      </c>
      <c r="D150" s="24">
        <v>65</v>
      </c>
      <c r="E150" s="3">
        <v>22314</v>
      </c>
      <c r="F150" t="s">
        <v>216</v>
      </c>
      <c r="G150" t="s">
        <v>94</v>
      </c>
      <c r="H150" s="4">
        <v>6100</v>
      </c>
      <c r="I150" s="4">
        <v>40000</v>
      </c>
      <c r="J150" s="5" t="s">
        <v>45</v>
      </c>
      <c r="K150" s="6">
        <v>13</v>
      </c>
      <c r="L150" t="str" cm="1">
        <f t="array" ref="L150">_xlfn.IFS(K150&gt;=26,"Alto",K150&lt;11,"Baixo",K150&lt;26,"Médio")</f>
        <v>Médio</v>
      </c>
      <c r="M150" t="str">
        <f>IF(AND(Tabela13[[#This Row],[flag_inadimplente]]="Sim",Tabela13[[#This Row],[nivel_risco]]="Alto"),"Negado","Aprovado")</f>
        <v>Aprovado</v>
      </c>
      <c r="N150" t="str">
        <f>IF(AND(Tabela13[[#This Row],[credito_tomado]]&gt;50000,Tabela13[[#This Row],[flag_inadimplente]]="Sim"),"Negado","Aprovado")</f>
        <v>Aprovado</v>
      </c>
      <c r="O150" s="4">
        <f>IF(AND(Tabela13[[#This Row],[analise_risco]]="Negado",Tabela13[[#This Row],[analise_credito]]="Negado"),0,IF(Tabela13[[#This Row],[status]]="Ativo",Tabela13[[#This Row],[valor_solicitado]]*8%,0))</f>
        <v>1800</v>
      </c>
      <c r="P150" s="4">
        <v>22500</v>
      </c>
    </row>
    <row r="151" spans="1:16">
      <c r="A151" t="s">
        <v>71</v>
      </c>
      <c r="B151" t="s">
        <v>389</v>
      </c>
      <c r="C151" s="2" t="s">
        <v>390</v>
      </c>
      <c r="D151" s="24">
        <v>20</v>
      </c>
      <c r="E151" s="3">
        <v>38678</v>
      </c>
      <c r="F151" t="s">
        <v>115</v>
      </c>
      <c r="G151" t="s">
        <v>75</v>
      </c>
      <c r="H151" s="4">
        <v>9300</v>
      </c>
      <c r="I151" s="4">
        <v>35000</v>
      </c>
      <c r="J151" s="5" t="s">
        <v>45</v>
      </c>
      <c r="K151" s="6">
        <v>5</v>
      </c>
      <c r="L151" t="str" cm="1">
        <f t="array" ref="L151">_xlfn.IFS(K151&gt;=26,"Alto",K151&lt;11,"Baixo",K151&lt;26,"Médio")</f>
        <v>Baixo</v>
      </c>
      <c r="M151" t="str">
        <f>IF(AND(Tabela13[[#This Row],[flag_inadimplente]]="Sim",Tabela13[[#This Row],[nivel_risco]]="Alto"),"Negado","Aprovado")</f>
        <v>Aprovado</v>
      </c>
      <c r="N151" t="str">
        <f>IF(AND(Tabela13[[#This Row],[credito_tomado]]&gt;50000,Tabela13[[#This Row],[flag_inadimplente]]="Sim"),"Negado","Aprovado")</f>
        <v>Aprovado</v>
      </c>
      <c r="O151" s="4">
        <f>IF(AND(Tabela13[[#This Row],[analise_risco]]="Negado",Tabela13[[#This Row],[analise_credito]]="Negado"),0,IF(Tabela13[[#This Row],[status]]="Ativo",Tabela13[[#This Row],[valor_solicitado]]*8%,0))</f>
        <v>840</v>
      </c>
      <c r="P151" s="4">
        <v>10500</v>
      </c>
    </row>
    <row r="152" spans="1:16">
      <c r="A152" t="s">
        <v>71</v>
      </c>
      <c r="B152" t="s">
        <v>391</v>
      </c>
      <c r="C152" s="2" t="s">
        <v>392</v>
      </c>
      <c r="D152" s="24">
        <v>59</v>
      </c>
      <c r="E152" s="3">
        <v>24362</v>
      </c>
      <c r="F152" t="s">
        <v>270</v>
      </c>
      <c r="G152" t="s">
        <v>98</v>
      </c>
      <c r="H152" s="4">
        <v>18900</v>
      </c>
      <c r="I152" s="4">
        <v>1000</v>
      </c>
      <c r="J152" s="5" t="s">
        <v>348</v>
      </c>
      <c r="K152" s="6">
        <v>42</v>
      </c>
      <c r="L152" t="str" cm="1">
        <f t="array" ref="L152">_xlfn.IFS(K152&gt;=26,"Alto",K152&lt;11,"Baixo",K152&lt;26,"Médio")</f>
        <v>Alto</v>
      </c>
      <c r="M152" t="str">
        <f>IF(AND(Tabela13[[#This Row],[flag_inadimplente]]="Sim",Tabela13[[#This Row],[nivel_risco]]="Alto"),"Negado","Aprovado")</f>
        <v>Negado</v>
      </c>
      <c r="N152" t="str">
        <f>IF(AND(Tabela13[[#This Row],[credito_tomado]]&gt;50000,Tabela13[[#This Row],[flag_inadimplente]]="Sim"),"Negado","Aprovado")</f>
        <v>Aprovado</v>
      </c>
      <c r="O152" s="4">
        <f>IF(AND(Tabela13[[#This Row],[analise_risco]]="Negado",Tabela13[[#This Row],[analise_credito]]="Negado"),0,IF(Tabela13[[#This Row],[status]]="Ativo",Tabela13[[#This Row],[valor_solicitado]]*8%,0))</f>
        <v>1320</v>
      </c>
      <c r="P152" s="4">
        <v>16500</v>
      </c>
    </row>
    <row r="153" spans="1:16">
      <c r="A153" t="s">
        <v>71</v>
      </c>
      <c r="B153" t="s">
        <v>393</v>
      </c>
      <c r="C153" s="2" t="s">
        <v>394</v>
      </c>
      <c r="D153" s="24" t="s">
        <v>80</v>
      </c>
      <c r="E153" s="3">
        <v>36759</v>
      </c>
      <c r="F153" t="s">
        <v>90</v>
      </c>
      <c r="G153" t="s">
        <v>90</v>
      </c>
      <c r="H153" s="4">
        <v>23200</v>
      </c>
      <c r="I153" s="4">
        <v>54500</v>
      </c>
      <c r="J153" s="5" t="s">
        <v>46</v>
      </c>
      <c r="K153" s="6">
        <v>26</v>
      </c>
      <c r="L153" t="str" cm="1">
        <f t="array" ref="L153">_xlfn.IFS(K153&gt;=26,"Alto",K153&lt;11,"Baixo",K153&lt;26,"Médio")</f>
        <v>Alto</v>
      </c>
      <c r="M153" t="str">
        <f>IF(AND(Tabela13[[#This Row],[flag_inadimplente]]="Sim",Tabela13[[#This Row],[nivel_risco]]="Alto"),"Negado","Aprovado")</f>
        <v>Negado</v>
      </c>
      <c r="N153" t="str">
        <f>IF(AND(Tabela13[[#This Row],[credito_tomado]]&gt;50000,Tabela13[[#This Row],[flag_inadimplente]]="Sim"),"Negado","Aprovado")</f>
        <v>Negado</v>
      </c>
      <c r="O153" s="4">
        <f>IF(AND(Tabela13[[#This Row],[analise_risco]]="Negado",Tabela13[[#This Row],[analise_credito]]="Negado"),0,IF(Tabela13[[#This Row],[status]]="Ativo",Tabela13[[#This Row],[valor_solicitado]]*8%,0))</f>
        <v>0</v>
      </c>
      <c r="P153" s="4">
        <v>75000</v>
      </c>
    </row>
    <row r="154" spans="1:16">
      <c r="A154" t="s">
        <v>71</v>
      </c>
      <c r="B154" t="s">
        <v>393</v>
      </c>
      <c r="C154" s="2" t="s">
        <v>394</v>
      </c>
      <c r="D154" s="24" t="s">
        <v>80</v>
      </c>
      <c r="E154" s="3">
        <v>36759</v>
      </c>
      <c r="F154" t="s">
        <v>90</v>
      </c>
      <c r="G154" t="s">
        <v>90</v>
      </c>
      <c r="H154" s="4">
        <v>23200</v>
      </c>
      <c r="I154" s="4">
        <v>54500</v>
      </c>
      <c r="J154" s="5" t="s">
        <v>51</v>
      </c>
      <c r="K154" s="6">
        <v>26</v>
      </c>
      <c r="L154" t="str" cm="1">
        <f t="array" ref="L154">_xlfn.IFS(K154&gt;=26,"Alto",K154&lt;11,"Baixo",K154&lt;26,"Médio")</f>
        <v>Alto</v>
      </c>
      <c r="M154" t="str">
        <f>IF(AND(Tabela13[[#This Row],[flag_inadimplente]]="Sim",Tabela13[[#This Row],[nivel_risco]]="Alto"),"Negado","Aprovado")</f>
        <v>Negado</v>
      </c>
      <c r="N154" t="str">
        <f>IF(AND(Tabela13[[#This Row],[credito_tomado]]&gt;50000,Tabela13[[#This Row],[flag_inadimplente]]="Sim"),"Negado","Aprovado")</f>
        <v>Negado</v>
      </c>
      <c r="O154" s="4">
        <f>IF(AND(Tabela13[[#This Row],[analise_risco]]="Negado",Tabela13[[#This Row],[analise_credito]]="Negado"),0,IF(Tabela13[[#This Row],[status]]="Ativo",Tabela13[[#This Row],[valor_solicitado]]*8%,0))</f>
        <v>0</v>
      </c>
      <c r="P154" s="4">
        <v>39500</v>
      </c>
    </row>
    <row r="155" spans="1:16">
      <c r="A155" t="s">
        <v>71</v>
      </c>
      <c r="B155" t="s">
        <v>395</v>
      </c>
      <c r="C155" s="2" t="s">
        <v>396</v>
      </c>
      <c r="D155" s="24">
        <v>29</v>
      </c>
      <c r="E155" s="3">
        <v>35600</v>
      </c>
      <c r="F155" t="s">
        <v>152</v>
      </c>
      <c r="G155" t="s">
        <v>123</v>
      </c>
      <c r="H155" s="4">
        <v>10000</v>
      </c>
      <c r="I155" s="4">
        <v>25500</v>
      </c>
      <c r="J155" s="5" t="s">
        <v>45</v>
      </c>
      <c r="K155" s="6">
        <v>15</v>
      </c>
      <c r="L155" t="str" cm="1">
        <f t="array" ref="L155">_xlfn.IFS(K155&gt;=26,"Alto",K155&lt;11,"Baixo",K155&lt;26,"Médio")</f>
        <v>Médio</v>
      </c>
      <c r="M155" t="str">
        <f>IF(AND(Tabela13[[#This Row],[flag_inadimplente]]="Sim",Tabela13[[#This Row],[nivel_risco]]="Alto"),"Negado","Aprovado")</f>
        <v>Aprovado</v>
      </c>
      <c r="N155" t="str">
        <f>IF(AND(Tabela13[[#This Row],[credito_tomado]]&gt;50000,Tabela13[[#This Row],[flag_inadimplente]]="Sim"),"Negado","Aprovado")</f>
        <v>Aprovado</v>
      </c>
      <c r="O155" s="4">
        <f>IF(AND(Tabela13[[#This Row],[analise_risco]]="Negado",Tabela13[[#This Row],[analise_credito]]="Negado"),0,IF(Tabela13[[#This Row],[status]]="Ativo",Tabela13[[#This Row],[valor_solicitado]]*8%,0))</f>
        <v>5280</v>
      </c>
      <c r="P155" s="4">
        <v>66000</v>
      </c>
    </row>
    <row r="156" spans="1:16">
      <c r="A156" t="s">
        <v>71</v>
      </c>
      <c r="B156" t="s">
        <v>397</v>
      </c>
      <c r="C156" s="2" t="s">
        <v>398</v>
      </c>
      <c r="D156" s="24">
        <v>52</v>
      </c>
      <c r="E156" s="3">
        <v>27088</v>
      </c>
      <c r="F156" t="s">
        <v>216</v>
      </c>
      <c r="G156" t="s">
        <v>94</v>
      </c>
      <c r="H156" s="4">
        <v>24900</v>
      </c>
      <c r="I156" s="4">
        <v>0</v>
      </c>
      <c r="J156" s="5" t="s">
        <v>45</v>
      </c>
      <c r="K156" s="6">
        <v>24</v>
      </c>
      <c r="L156" t="str" cm="1">
        <f t="array" ref="L156">_xlfn.IFS(K156&gt;=26,"Alto",K156&lt;11,"Baixo",K156&lt;26,"Médio")</f>
        <v>Médio</v>
      </c>
      <c r="M156" t="str">
        <f>IF(AND(Tabela13[[#This Row],[flag_inadimplente]]="Sim",Tabela13[[#This Row],[nivel_risco]]="Alto"),"Negado","Aprovado")</f>
        <v>Aprovado</v>
      </c>
      <c r="N156" t="str">
        <f>IF(AND(Tabela13[[#This Row],[credito_tomado]]&gt;50000,Tabela13[[#This Row],[flag_inadimplente]]="Sim"),"Negado","Aprovado")</f>
        <v>Aprovado</v>
      </c>
      <c r="O156" s="4">
        <f>IF(AND(Tabela13[[#This Row],[analise_risco]]="Negado",Tabela13[[#This Row],[analise_credito]]="Negado"),0,IF(Tabela13[[#This Row],[status]]="Ativo",Tabela13[[#This Row],[valor_solicitado]]*8%,0))</f>
        <v>1280</v>
      </c>
      <c r="P156" s="4">
        <v>16000</v>
      </c>
    </row>
    <row r="157" spans="1:16">
      <c r="A157" t="s">
        <v>71</v>
      </c>
      <c r="B157" t="s">
        <v>397</v>
      </c>
      <c r="C157" s="2" t="s">
        <v>399</v>
      </c>
      <c r="D157" s="24">
        <v>26</v>
      </c>
      <c r="E157" s="3">
        <v>36671</v>
      </c>
      <c r="F157" t="s">
        <v>216</v>
      </c>
      <c r="G157" t="s">
        <v>94</v>
      </c>
      <c r="H157" s="4">
        <v>25000</v>
      </c>
      <c r="I157" s="4">
        <v>1000</v>
      </c>
      <c r="J157" s="5" t="s">
        <v>45</v>
      </c>
      <c r="K157" s="6">
        <v>16</v>
      </c>
      <c r="L157" t="str" cm="1">
        <f t="array" ref="L157">_xlfn.IFS(K157&gt;=26,"Alto",K157&lt;11,"Baixo",K157&lt;26,"Médio")</f>
        <v>Médio</v>
      </c>
      <c r="M157" t="str">
        <f>IF(AND(Tabela13[[#This Row],[flag_inadimplente]]="Sim",Tabela13[[#This Row],[nivel_risco]]="Alto"),"Negado","Aprovado")</f>
        <v>Aprovado</v>
      </c>
      <c r="N157" t="str">
        <f>IF(AND(Tabela13[[#This Row],[credito_tomado]]&gt;50000,Tabela13[[#This Row],[flag_inadimplente]]="Sim"),"Negado","Aprovado")</f>
        <v>Aprovado</v>
      </c>
      <c r="O157" s="4">
        <f>IF(AND(Tabela13[[#This Row],[analise_risco]]="Negado",Tabela13[[#This Row],[analise_credito]]="Negado"),0,IF(Tabela13[[#This Row],[status]]="Ativo",Tabela13[[#This Row],[valor_solicitado]]*8%,0))</f>
        <v>840</v>
      </c>
      <c r="P157" s="4">
        <v>10500</v>
      </c>
    </row>
    <row r="158" spans="1:16">
      <c r="A158" t="s">
        <v>85</v>
      </c>
      <c r="B158" t="s">
        <v>400</v>
      </c>
      <c r="C158" s="2" t="s">
        <v>401</v>
      </c>
      <c r="D158" s="24">
        <v>48</v>
      </c>
      <c r="E158" s="3">
        <v>28737</v>
      </c>
      <c r="F158" t="s">
        <v>152</v>
      </c>
      <c r="G158" t="s">
        <v>123</v>
      </c>
      <c r="H158" s="4">
        <v>12400</v>
      </c>
      <c r="I158" s="4">
        <v>0</v>
      </c>
      <c r="J158" s="5" t="s">
        <v>45</v>
      </c>
      <c r="K158" s="6">
        <v>25</v>
      </c>
      <c r="L158" t="str" cm="1">
        <f t="array" ref="L158">_xlfn.IFS(K158&gt;=26,"Alto",K158&lt;11,"Baixo",K158&lt;26,"Médio")</f>
        <v>Médio</v>
      </c>
      <c r="M158" t="str">
        <f>IF(AND(Tabela13[[#This Row],[flag_inadimplente]]="Sim",Tabela13[[#This Row],[nivel_risco]]="Alto"),"Negado","Aprovado")</f>
        <v>Aprovado</v>
      </c>
      <c r="N158" t="str">
        <f>IF(AND(Tabela13[[#This Row],[credito_tomado]]&gt;50000,Tabela13[[#This Row],[flag_inadimplente]]="Sim"),"Negado","Aprovado")</f>
        <v>Aprovado</v>
      </c>
      <c r="O158" s="4">
        <f>IF(AND(Tabela13[[#This Row],[analise_risco]]="Negado",Tabela13[[#This Row],[analise_credito]]="Negado"),0,IF(Tabela13[[#This Row],[status]]="Ativo",Tabela13[[#This Row],[valor_solicitado]]*8%,0))</f>
        <v>0</v>
      </c>
      <c r="P158" s="4">
        <v>65500</v>
      </c>
    </row>
    <row r="159" spans="1:16">
      <c r="A159" t="s">
        <v>85</v>
      </c>
      <c r="B159" t="s">
        <v>402</v>
      </c>
      <c r="C159" s="2" t="s">
        <v>403</v>
      </c>
      <c r="D159" s="24">
        <v>39</v>
      </c>
      <c r="E159" s="3">
        <v>31693</v>
      </c>
      <c r="F159" t="s">
        <v>139</v>
      </c>
      <c r="G159" t="s">
        <v>140</v>
      </c>
      <c r="H159" s="4">
        <v>22200</v>
      </c>
      <c r="I159" s="4">
        <v>0</v>
      </c>
      <c r="J159" s="5" t="s">
        <v>46</v>
      </c>
      <c r="K159" s="6">
        <v>39</v>
      </c>
      <c r="L159" t="str" cm="1">
        <f t="array" ref="L159">_xlfn.IFS(K159&gt;=26,"Alto",K159&lt;11,"Baixo",K159&lt;26,"Médio")</f>
        <v>Alto</v>
      </c>
      <c r="M159" t="str">
        <f>IF(AND(Tabela13[[#This Row],[flag_inadimplente]]="Sim",Tabela13[[#This Row],[nivel_risco]]="Alto"),"Negado","Aprovado")</f>
        <v>Negado</v>
      </c>
      <c r="N159" t="str">
        <f>IF(AND(Tabela13[[#This Row],[credito_tomado]]&gt;50000,Tabela13[[#This Row],[flag_inadimplente]]="Sim"),"Negado","Aprovado")</f>
        <v>Aprovado</v>
      </c>
      <c r="O159" s="4">
        <f>IF(AND(Tabela13[[#This Row],[analise_risco]]="Negado",Tabela13[[#This Row],[analise_credito]]="Negado"),0,IF(Tabela13[[#This Row],[status]]="Ativo",Tabela13[[#This Row],[valor_solicitado]]*8%,0))</f>
        <v>0</v>
      </c>
      <c r="P159" s="4">
        <v>7000</v>
      </c>
    </row>
    <row r="160" spans="1:16">
      <c r="A160" t="s">
        <v>71</v>
      </c>
      <c r="B160" t="s">
        <v>402</v>
      </c>
      <c r="C160" s="2" t="s">
        <v>404</v>
      </c>
      <c r="D160" s="24">
        <v>63</v>
      </c>
      <c r="E160" s="3">
        <v>23156</v>
      </c>
      <c r="F160" t="s">
        <v>101</v>
      </c>
      <c r="G160" t="s">
        <v>102</v>
      </c>
      <c r="H160" s="4">
        <v>10400</v>
      </c>
      <c r="I160" s="4">
        <v>8500</v>
      </c>
      <c r="J160" s="5" t="s">
        <v>45</v>
      </c>
      <c r="K160" s="6">
        <v>3</v>
      </c>
      <c r="L160" t="str" cm="1">
        <f t="array" ref="L160">_xlfn.IFS(K160&gt;=26,"Alto",K160&lt;11,"Baixo",K160&lt;26,"Médio")</f>
        <v>Baixo</v>
      </c>
      <c r="M160" t="str">
        <f>IF(AND(Tabela13[[#This Row],[flag_inadimplente]]="Sim",Tabela13[[#This Row],[nivel_risco]]="Alto"),"Negado","Aprovado")</f>
        <v>Aprovado</v>
      </c>
      <c r="N160" t="str">
        <f>IF(AND(Tabela13[[#This Row],[credito_tomado]]&gt;50000,Tabela13[[#This Row],[flag_inadimplente]]="Sim"),"Negado","Aprovado")</f>
        <v>Aprovado</v>
      </c>
      <c r="O160" s="4">
        <f>IF(AND(Tabela13[[#This Row],[analise_risco]]="Negado",Tabela13[[#This Row],[analise_credito]]="Negado"),0,IF(Tabela13[[#This Row],[status]]="Ativo",Tabela13[[#This Row],[valor_solicitado]]*8%,0))</f>
        <v>2920</v>
      </c>
      <c r="P160" s="4">
        <v>36500</v>
      </c>
    </row>
    <row r="161" spans="1:16">
      <c r="A161" t="s">
        <v>71</v>
      </c>
      <c r="B161" t="s">
        <v>405</v>
      </c>
      <c r="C161" s="2" t="s">
        <v>406</v>
      </c>
      <c r="D161" s="24">
        <v>49</v>
      </c>
      <c r="E161" s="3">
        <v>28147</v>
      </c>
      <c r="F161" t="s">
        <v>152</v>
      </c>
      <c r="G161" t="s">
        <v>123</v>
      </c>
      <c r="H161" s="4">
        <v>28400</v>
      </c>
      <c r="I161" s="4">
        <v>38500</v>
      </c>
      <c r="J161" s="5" t="s">
        <v>45</v>
      </c>
      <c r="K161" s="6">
        <v>26</v>
      </c>
      <c r="L161" t="str" cm="1">
        <f t="array" ref="L161">_xlfn.IFS(K161&gt;=26,"Alto",K161&lt;11,"Baixo",K161&lt;26,"Médio")</f>
        <v>Alto</v>
      </c>
      <c r="M161" t="str">
        <f>IF(AND(Tabela13[[#This Row],[flag_inadimplente]]="Sim",Tabela13[[#This Row],[nivel_risco]]="Alto"),"Negado","Aprovado")</f>
        <v>Aprovado</v>
      </c>
      <c r="N161" t="str">
        <f>IF(AND(Tabela13[[#This Row],[credito_tomado]]&gt;50000,Tabela13[[#This Row],[flag_inadimplente]]="Sim"),"Negado","Aprovado")</f>
        <v>Aprovado</v>
      </c>
      <c r="O161" s="4">
        <f>IF(AND(Tabela13[[#This Row],[analise_risco]]="Negado",Tabela13[[#This Row],[analise_credito]]="Negado"),0,IF(Tabela13[[#This Row],[status]]="Ativo",Tabela13[[#This Row],[valor_solicitado]]*8%,0))</f>
        <v>4080</v>
      </c>
      <c r="P161" s="4">
        <v>51000</v>
      </c>
    </row>
    <row r="162" spans="1:16">
      <c r="A162" t="s">
        <v>71</v>
      </c>
      <c r="B162" t="s">
        <v>407</v>
      </c>
      <c r="C162" s="2" t="s">
        <v>408</v>
      </c>
      <c r="D162" s="24">
        <v>44</v>
      </c>
      <c r="E162" s="3">
        <v>30069</v>
      </c>
      <c r="F162" t="s">
        <v>83</v>
      </c>
      <c r="G162" t="s">
        <v>84</v>
      </c>
      <c r="H162" s="4">
        <v>21700</v>
      </c>
      <c r="I162" s="4">
        <v>34500</v>
      </c>
      <c r="J162" s="5" t="s">
        <v>45</v>
      </c>
      <c r="K162" s="6">
        <v>1</v>
      </c>
      <c r="L162" t="str" cm="1">
        <f t="array" ref="L162">_xlfn.IFS(K162&gt;=26,"Alto",K162&lt;11,"Baixo",K162&lt;26,"Médio")</f>
        <v>Baixo</v>
      </c>
      <c r="M162" t="str">
        <f>IF(AND(Tabela13[[#This Row],[flag_inadimplente]]="Sim",Tabela13[[#This Row],[nivel_risco]]="Alto"),"Negado","Aprovado")</f>
        <v>Aprovado</v>
      </c>
      <c r="N162" t="str">
        <f>IF(AND(Tabela13[[#This Row],[credito_tomado]]&gt;50000,Tabela13[[#This Row],[flag_inadimplente]]="Sim"),"Negado","Aprovado")</f>
        <v>Aprovado</v>
      </c>
      <c r="O162" s="4">
        <f>IF(AND(Tabela13[[#This Row],[analise_risco]]="Negado",Tabela13[[#This Row],[analise_credito]]="Negado"),0,IF(Tabela13[[#This Row],[status]]="Ativo",Tabela13[[#This Row],[valor_solicitado]]*8%,0))</f>
        <v>840</v>
      </c>
      <c r="P162" s="4">
        <v>10500</v>
      </c>
    </row>
    <row r="163" spans="1:16">
      <c r="A163" t="s">
        <v>85</v>
      </c>
      <c r="B163" t="s">
        <v>407</v>
      </c>
      <c r="C163" s="2" t="s">
        <v>409</v>
      </c>
      <c r="D163" s="24">
        <v>62</v>
      </c>
      <c r="E163" s="3">
        <v>23259</v>
      </c>
      <c r="F163" t="s">
        <v>122</v>
      </c>
      <c r="G163" t="s">
        <v>123</v>
      </c>
      <c r="H163" s="4" t="s">
        <v>80</v>
      </c>
      <c r="I163" s="4">
        <v>0</v>
      </c>
      <c r="J163" s="5" t="s">
        <v>46</v>
      </c>
      <c r="K163" s="6">
        <v>29</v>
      </c>
      <c r="L163" t="str" cm="1">
        <f t="array" ref="L163">_xlfn.IFS(K163&gt;=26,"Alto",K163&lt;11,"Baixo",K163&lt;26,"Médio")</f>
        <v>Alto</v>
      </c>
      <c r="M163" t="str">
        <f>IF(AND(Tabela13[[#This Row],[flag_inadimplente]]="Sim",Tabela13[[#This Row],[nivel_risco]]="Alto"),"Negado","Aprovado")</f>
        <v>Negado</v>
      </c>
      <c r="N163" t="str">
        <f>IF(AND(Tabela13[[#This Row],[credito_tomado]]&gt;50000,Tabela13[[#This Row],[flag_inadimplente]]="Sim"),"Negado","Aprovado")</f>
        <v>Aprovado</v>
      </c>
      <c r="O163" s="4">
        <f>IF(AND(Tabela13[[#This Row],[analise_risco]]="Negado",Tabela13[[#This Row],[analise_credito]]="Negado"),0,IF(Tabela13[[#This Row],[status]]="Ativo",Tabela13[[#This Row],[valor_solicitado]]*8%,0))</f>
        <v>0</v>
      </c>
      <c r="P163" s="4">
        <v>12000</v>
      </c>
    </row>
    <row r="164" spans="1:16">
      <c r="A164" t="s">
        <v>71</v>
      </c>
      <c r="B164" t="s">
        <v>410</v>
      </c>
      <c r="C164" s="2" t="s">
        <v>411</v>
      </c>
      <c r="D164" s="24">
        <v>53</v>
      </c>
      <c r="E164" s="3">
        <v>26558</v>
      </c>
      <c r="F164" t="s">
        <v>122</v>
      </c>
      <c r="G164" t="s">
        <v>123</v>
      </c>
      <c r="H164" s="4">
        <v>15500</v>
      </c>
      <c r="I164" s="8" t="s">
        <v>80</v>
      </c>
      <c r="J164" s="5" t="s">
        <v>45</v>
      </c>
      <c r="K164" s="6">
        <v>30</v>
      </c>
      <c r="L164" t="str" cm="1">
        <f t="array" ref="L164">_xlfn.IFS(K164&gt;=26,"Alto",K164&lt;11,"Baixo",K164&lt;26,"Médio")</f>
        <v>Alto</v>
      </c>
      <c r="M164" t="str">
        <f>IF(AND(Tabela13[[#This Row],[flag_inadimplente]]="Sim",Tabela13[[#This Row],[nivel_risco]]="Alto"),"Negado","Aprovado")</f>
        <v>Aprovado</v>
      </c>
      <c r="N164" t="str">
        <f>IF(AND(Tabela13[[#This Row],[credito_tomado]]&gt;50000,Tabela13[[#This Row],[flag_inadimplente]]="Sim"),"Negado","Aprovado")</f>
        <v>Aprovado</v>
      </c>
      <c r="O164" s="4">
        <f>IF(AND(Tabela13[[#This Row],[analise_risco]]="Negado",Tabela13[[#This Row],[analise_credito]]="Negado"),0,IF(Tabela13[[#This Row],[status]]="Ativo",Tabela13[[#This Row],[valor_solicitado]]*8%,0))</f>
        <v>3280</v>
      </c>
      <c r="P164" s="4">
        <v>41000</v>
      </c>
    </row>
    <row r="165" spans="1:16">
      <c r="A165" t="s">
        <v>71</v>
      </c>
      <c r="B165" t="s">
        <v>410</v>
      </c>
      <c r="C165" s="2" t="s">
        <v>412</v>
      </c>
      <c r="D165" s="24">
        <v>37</v>
      </c>
      <c r="E165" s="3">
        <v>32414</v>
      </c>
      <c r="F165" t="s">
        <v>122</v>
      </c>
      <c r="G165" t="s">
        <v>123</v>
      </c>
      <c r="H165" s="4">
        <v>12800</v>
      </c>
      <c r="I165" s="4">
        <v>76500</v>
      </c>
      <c r="J165" s="5" t="s">
        <v>45</v>
      </c>
      <c r="K165" s="6">
        <v>16</v>
      </c>
      <c r="L165" t="str" cm="1">
        <f t="array" ref="L165">_xlfn.IFS(K165&gt;=26,"Alto",K165&lt;11,"Baixo",K165&lt;26,"Médio")</f>
        <v>Médio</v>
      </c>
      <c r="M165" t="str">
        <f>IF(AND(Tabela13[[#This Row],[flag_inadimplente]]="Sim",Tabela13[[#This Row],[nivel_risco]]="Alto"),"Negado","Aprovado")</f>
        <v>Aprovado</v>
      </c>
      <c r="N165" t="str">
        <f>IF(AND(Tabela13[[#This Row],[credito_tomado]]&gt;50000,Tabela13[[#This Row],[flag_inadimplente]]="Sim"),"Negado","Aprovado")</f>
        <v>Aprovado</v>
      </c>
      <c r="O165" s="4">
        <f>IF(AND(Tabela13[[#This Row],[analise_risco]]="Negado",Tabela13[[#This Row],[analise_credito]]="Negado"),0,IF(Tabela13[[#This Row],[status]]="Ativo",Tabela13[[#This Row],[valor_solicitado]]*8%,0))</f>
        <v>1480</v>
      </c>
      <c r="P165" s="4">
        <v>18500</v>
      </c>
    </row>
    <row r="166" spans="1:16">
      <c r="A166" t="s">
        <v>71</v>
      </c>
      <c r="B166" t="s">
        <v>410</v>
      </c>
      <c r="C166" s="2" t="s">
        <v>412</v>
      </c>
      <c r="D166" s="24">
        <v>37</v>
      </c>
      <c r="E166" s="3">
        <v>32414</v>
      </c>
      <c r="F166" t="s">
        <v>122</v>
      </c>
      <c r="G166" t="s">
        <v>123</v>
      </c>
      <c r="H166" s="4">
        <v>12800</v>
      </c>
      <c r="I166" s="4">
        <v>76500</v>
      </c>
      <c r="J166" s="5" t="s">
        <v>45</v>
      </c>
      <c r="K166" s="6">
        <v>30</v>
      </c>
      <c r="L166" t="str" cm="1">
        <f t="array" ref="L166">_xlfn.IFS(K166&gt;=26,"Alto",K166&lt;11,"Baixo",K166&lt;26,"Médio")</f>
        <v>Alto</v>
      </c>
      <c r="M166" t="str">
        <f>IF(AND(Tabela13[[#This Row],[flag_inadimplente]]="Sim",Tabela13[[#This Row],[nivel_risco]]="Alto"),"Negado","Aprovado")</f>
        <v>Aprovado</v>
      </c>
      <c r="N166" t="str">
        <f>IF(AND(Tabela13[[#This Row],[credito_tomado]]&gt;50000,Tabela13[[#This Row],[flag_inadimplente]]="Sim"),"Negado","Aprovado")</f>
        <v>Aprovado</v>
      </c>
      <c r="O166" s="4">
        <f>IF(AND(Tabela13[[#This Row],[analise_risco]]="Negado",Tabela13[[#This Row],[analise_credito]]="Negado"),0,IF(Tabela13[[#This Row],[status]]="Ativo",Tabela13[[#This Row],[valor_solicitado]]*8%,0))</f>
        <v>7600</v>
      </c>
      <c r="P166" s="4">
        <v>95000</v>
      </c>
    </row>
    <row r="167" spans="1:16">
      <c r="A167" t="s">
        <v>71</v>
      </c>
      <c r="B167" t="s">
        <v>413</v>
      </c>
      <c r="C167" s="2" t="s">
        <v>414</v>
      </c>
      <c r="D167" s="24">
        <v>37</v>
      </c>
      <c r="E167" s="3">
        <v>32513</v>
      </c>
      <c r="F167" t="s">
        <v>298</v>
      </c>
      <c r="G167" t="s">
        <v>79</v>
      </c>
      <c r="H167" s="4">
        <v>2600</v>
      </c>
      <c r="I167" s="8" t="s">
        <v>80</v>
      </c>
      <c r="J167" s="5" t="s">
        <v>45</v>
      </c>
      <c r="K167" s="6">
        <v>5</v>
      </c>
      <c r="L167" t="str" cm="1">
        <f t="array" ref="L167">_xlfn.IFS(K167&gt;=26,"Alto",K167&lt;11,"Baixo",K167&lt;26,"Médio")</f>
        <v>Baixo</v>
      </c>
      <c r="M167" t="str">
        <f>IF(AND(Tabela13[[#This Row],[flag_inadimplente]]="Sim",Tabela13[[#This Row],[nivel_risco]]="Alto"),"Negado","Aprovado")</f>
        <v>Aprovado</v>
      </c>
      <c r="N167" t="str">
        <f>IF(AND(Tabela13[[#This Row],[credito_tomado]]&gt;50000,Tabela13[[#This Row],[flag_inadimplente]]="Sim"),"Negado","Aprovado")</f>
        <v>Aprovado</v>
      </c>
      <c r="O167" s="4">
        <f>IF(AND(Tabela13[[#This Row],[analise_risco]]="Negado",Tabela13[[#This Row],[analise_credito]]="Negado"),0,IF(Tabela13[[#This Row],[status]]="Ativo",Tabela13[[#This Row],[valor_solicitado]]*8%,0))</f>
        <v>1320</v>
      </c>
      <c r="P167" s="4">
        <v>16500</v>
      </c>
    </row>
    <row r="168" spans="1:16">
      <c r="A168" t="s">
        <v>85</v>
      </c>
      <c r="B168" t="s">
        <v>413</v>
      </c>
      <c r="C168" s="2" t="s">
        <v>415</v>
      </c>
      <c r="D168" s="24">
        <v>48</v>
      </c>
      <c r="E168" s="3">
        <v>28663</v>
      </c>
      <c r="F168" t="s">
        <v>152</v>
      </c>
      <c r="G168" t="s">
        <v>123</v>
      </c>
      <c r="H168" s="4">
        <v>24700</v>
      </c>
      <c r="I168" s="4">
        <v>30500</v>
      </c>
      <c r="J168" s="5" t="s">
        <v>45</v>
      </c>
      <c r="K168" s="6">
        <v>34</v>
      </c>
      <c r="L168" t="str" cm="1">
        <f t="array" ref="L168">_xlfn.IFS(K168&gt;=26,"Alto",K168&lt;11,"Baixo",K168&lt;26,"Médio")</f>
        <v>Alto</v>
      </c>
      <c r="M168" t="str">
        <f>IF(AND(Tabela13[[#This Row],[flag_inadimplente]]="Sim",Tabela13[[#This Row],[nivel_risco]]="Alto"),"Negado","Aprovado")</f>
        <v>Aprovado</v>
      </c>
      <c r="N168" t="str">
        <f>IF(AND(Tabela13[[#This Row],[credito_tomado]]&gt;50000,Tabela13[[#This Row],[flag_inadimplente]]="Sim"),"Negado","Aprovado")</f>
        <v>Aprovado</v>
      </c>
      <c r="O168" s="4">
        <f>IF(AND(Tabela13[[#This Row],[analise_risco]]="Negado",Tabela13[[#This Row],[analise_credito]]="Negado"),0,IF(Tabela13[[#This Row],[status]]="Ativo",Tabela13[[#This Row],[valor_solicitado]]*8%,0))</f>
        <v>0</v>
      </c>
      <c r="P168" s="4">
        <v>87500</v>
      </c>
    </row>
    <row r="169" spans="1:16">
      <c r="A169" t="s">
        <v>71</v>
      </c>
      <c r="B169" t="s">
        <v>416</v>
      </c>
      <c r="C169" s="2" t="s">
        <v>417</v>
      </c>
      <c r="D169" s="24">
        <v>66</v>
      </c>
      <c r="E169" s="3">
        <v>22151</v>
      </c>
      <c r="F169" t="s">
        <v>147</v>
      </c>
      <c r="G169" t="s">
        <v>98</v>
      </c>
      <c r="H169" s="4">
        <v>28800</v>
      </c>
      <c r="I169" s="4">
        <v>16000</v>
      </c>
      <c r="J169" s="5" t="s">
        <v>46</v>
      </c>
      <c r="K169" s="6">
        <v>44</v>
      </c>
      <c r="L169" t="str" cm="1">
        <f t="array" ref="L169">_xlfn.IFS(K169&gt;=26,"Alto",K169&lt;11,"Baixo",K169&lt;26,"Médio")</f>
        <v>Alto</v>
      </c>
      <c r="M169" t="str">
        <f>IF(AND(Tabela13[[#This Row],[flag_inadimplente]]="Sim",Tabela13[[#This Row],[nivel_risco]]="Alto"),"Negado","Aprovado")</f>
        <v>Negado</v>
      </c>
      <c r="N169" t="str">
        <f>IF(AND(Tabela13[[#This Row],[credito_tomado]]&gt;50000,Tabela13[[#This Row],[flag_inadimplente]]="Sim"),"Negado","Aprovado")</f>
        <v>Aprovado</v>
      </c>
      <c r="O169" s="4">
        <f>IF(AND(Tabela13[[#This Row],[analise_risco]]="Negado",Tabela13[[#This Row],[analise_credito]]="Negado"),0,IF(Tabela13[[#This Row],[status]]="Ativo",Tabela13[[#This Row],[valor_solicitado]]*8%,0))</f>
        <v>4720</v>
      </c>
      <c r="P169" s="4">
        <v>59000</v>
      </c>
    </row>
    <row r="170" spans="1:16">
      <c r="A170" t="s">
        <v>71</v>
      </c>
      <c r="B170" t="s">
        <v>418</v>
      </c>
      <c r="C170" s="2" t="s">
        <v>419</v>
      </c>
      <c r="D170" s="24">
        <v>43</v>
      </c>
      <c r="E170" s="3">
        <v>30437</v>
      </c>
      <c r="F170" t="s">
        <v>152</v>
      </c>
      <c r="G170" t="s">
        <v>123</v>
      </c>
      <c r="H170" s="4">
        <v>14600</v>
      </c>
      <c r="I170" s="4">
        <v>18500</v>
      </c>
      <c r="J170" s="5" t="s">
        <v>348</v>
      </c>
      <c r="K170" s="6">
        <v>22</v>
      </c>
      <c r="L170" t="str" cm="1">
        <f t="array" ref="L170">_xlfn.IFS(K170&gt;=26,"Alto",K170&lt;11,"Baixo",K170&lt;26,"Médio")</f>
        <v>Médio</v>
      </c>
      <c r="M170" t="str">
        <f>IF(AND(Tabela13[[#This Row],[flag_inadimplente]]="Sim",Tabela13[[#This Row],[nivel_risco]]="Alto"),"Negado","Aprovado")</f>
        <v>Aprovado</v>
      </c>
      <c r="N170" t="str">
        <f>IF(AND(Tabela13[[#This Row],[credito_tomado]]&gt;50000,Tabela13[[#This Row],[flag_inadimplente]]="Sim"),"Negado","Aprovado")</f>
        <v>Aprovado</v>
      </c>
      <c r="O170" s="4">
        <f>IF(AND(Tabela13[[#This Row],[analise_risco]]="Negado",Tabela13[[#This Row],[analise_credito]]="Negado"),0,IF(Tabela13[[#This Row],[status]]="Ativo",Tabela13[[#This Row],[valor_solicitado]]*8%,0))</f>
        <v>1320</v>
      </c>
      <c r="P170" s="4">
        <v>16500</v>
      </c>
    </row>
    <row r="171" spans="1:16">
      <c r="A171" t="s">
        <v>85</v>
      </c>
      <c r="B171" t="s">
        <v>420</v>
      </c>
      <c r="C171" s="2" t="s">
        <v>421</v>
      </c>
      <c r="D171" s="24">
        <v>68</v>
      </c>
      <c r="E171" s="3">
        <v>21205</v>
      </c>
      <c r="F171" t="s">
        <v>78</v>
      </c>
      <c r="G171" t="s">
        <v>79</v>
      </c>
      <c r="H171" s="4">
        <v>8200</v>
      </c>
      <c r="I171" s="4">
        <v>66000</v>
      </c>
      <c r="J171" s="5" t="s">
        <v>45</v>
      </c>
      <c r="K171" s="6">
        <v>16</v>
      </c>
      <c r="L171" t="str" cm="1">
        <f t="array" ref="L171">_xlfn.IFS(K171&gt;=26,"Alto",K171&lt;11,"Baixo",K171&lt;26,"Médio")</f>
        <v>Médio</v>
      </c>
      <c r="M171" t="str">
        <f>IF(AND(Tabela13[[#This Row],[flag_inadimplente]]="Sim",Tabela13[[#This Row],[nivel_risco]]="Alto"),"Negado","Aprovado")</f>
        <v>Aprovado</v>
      </c>
      <c r="N171" t="str">
        <f>IF(AND(Tabela13[[#This Row],[credito_tomado]]&gt;50000,Tabela13[[#This Row],[flag_inadimplente]]="Sim"),"Negado","Aprovado")</f>
        <v>Aprovado</v>
      </c>
      <c r="O171" s="4">
        <f>IF(AND(Tabela13[[#This Row],[analise_risco]]="Negado",Tabela13[[#This Row],[analise_credito]]="Negado"),0,IF(Tabela13[[#This Row],[status]]="Ativo",Tabela13[[#This Row],[valor_solicitado]]*8%,0))</f>
        <v>0</v>
      </c>
      <c r="P171" s="4">
        <v>84000</v>
      </c>
    </row>
    <row r="172" spans="1:16">
      <c r="A172" t="s">
        <v>71</v>
      </c>
      <c r="B172" t="s">
        <v>422</v>
      </c>
      <c r="C172" s="2" t="s">
        <v>423</v>
      </c>
      <c r="D172" s="24">
        <v>51</v>
      </c>
      <c r="E172" s="3">
        <v>27505</v>
      </c>
      <c r="F172" t="s">
        <v>188</v>
      </c>
      <c r="G172" t="s">
        <v>195</v>
      </c>
      <c r="H172" s="4">
        <v>7200</v>
      </c>
      <c r="I172" s="4">
        <v>17500</v>
      </c>
      <c r="J172" s="5" t="s">
        <v>46</v>
      </c>
      <c r="K172" s="6">
        <v>40</v>
      </c>
      <c r="L172" t="str" cm="1">
        <f t="array" ref="L172">_xlfn.IFS(K172&gt;=26,"Alto",K172&lt;11,"Baixo",K172&lt;26,"Médio")</f>
        <v>Alto</v>
      </c>
      <c r="M172" t="str">
        <f>IF(AND(Tabela13[[#This Row],[flag_inadimplente]]="Sim",Tabela13[[#This Row],[nivel_risco]]="Alto"),"Negado","Aprovado")</f>
        <v>Negado</v>
      </c>
      <c r="N172" t="str">
        <f>IF(AND(Tabela13[[#This Row],[credito_tomado]]&gt;50000,Tabela13[[#This Row],[flag_inadimplente]]="Sim"),"Negado","Aprovado")</f>
        <v>Aprovado</v>
      </c>
      <c r="O172" s="4">
        <f>IF(AND(Tabela13[[#This Row],[analise_risco]]="Negado",Tabela13[[#This Row],[analise_credito]]="Negado"),0,IF(Tabela13[[#This Row],[status]]="Ativo",Tabela13[[#This Row],[valor_solicitado]]*8%,0))</f>
        <v>440</v>
      </c>
      <c r="P172" s="4">
        <v>5500</v>
      </c>
    </row>
    <row r="173" spans="1:16">
      <c r="A173" t="s">
        <v>71</v>
      </c>
      <c r="B173" t="s">
        <v>424</v>
      </c>
      <c r="C173" s="2" t="s">
        <v>425</v>
      </c>
      <c r="D173" s="24">
        <v>58</v>
      </c>
      <c r="E173" s="3">
        <v>24911</v>
      </c>
      <c r="F173" t="s">
        <v>198</v>
      </c>
      <c r="G173" t="s">
        <v>84</v>
      </c>
      <c r="H173" s="4">
        <v>25400</v>
      </c>
      <c r="I173" s="4">
        <v>70500</v>
      </c>
      <c r="J173" s="5" t="s">
        <v>46</v>
      </c>
      <c r="K173" s="6">
        <v>11</v>
      </c>
      <c r="L173" t="str" cm="1">
        <f t="array" ref="L173">_xlfn.IFS(K173&gt;=26,"Alto",K173&lt;11,"Baixo",K173&lt;26,"Médio")</f>
        <v>Médio</v>
      </c>
      <c r="M173" t="str">
        <f>IF(AND(Tabela13[[#This Row],[flag_inadimplente]]="Sim",Tabela13[[#This Row],[nivel_risco]]="Alto"),"Negado","Aprovado")</f>
        <v>Aprovado</v>
      </c>
      <c r="N173" t="str">
        <f>IF(AND(Tabela13[[#This Row],[credito_tomado]]&gt;50000,Tabela13[[#This Row],[flag_inadimplente]]="Sim"),"Negado","Aprovado")</f>
        <v>Negado</v>
      </c>
      <c r="O173" s="4">
        <f>IF(AND(Tabela13[[#This Row],[analise_risco]]="Negado",Tabela13[[#This Row],[analise_credito]]="Negado"),0,IF(Tabela13[[#This Row],[status]]="Ativo",Tabela13[[#This Row],[valor_solicitado]]*8%,0))</f>
        <v>3760</v>
      </c>
      <c r="P173" s="4">
        <v>47000</v>
      </c>
    </row>
    <row r="174" spans="1:16">
      <c r="A174" t="s">
        <v>85</v>
      </c>
      <c r="B174" t="s">
        <v>426</v>
      </c>
      <c r="C174" s="2" t="s">
        <v>427</v>
      </c>
      <c r="D174" s="24">
        <v>30</v>
      </c>
      <c r="E174" s="3">
        <v>35213</v>
      </c>
      <c r="F174" t="s">
        <v>78</v>
      </c>
      <c r="G174" t="s">
        <v>79</v>
      </c>
      <c r="H174" s="4">
        <v>3900</v>
      </c>
      <c r="I174" s="4">
        <v>45000</v>
      </c>
      <c r="J174" s="5" t="s">
        <v>45</v>
      </c>
      <c r="K174" s="6">
        <v>34</v>
      </c>
      <c r="L174" t="str" cm="1">
        <f t="array" ref="L174">_xlfn.IFS(K174&gt;=26,"Alto",K174&lt;11,"Baixo",K174&lt;26,"Médio")</f>
        <v>Alto</v>
      </c>
      <c r="M174" t="str">
        <f>IF(AND(Tabela13[[#This Row],[flag_inadimplente]]="Sim",Tabela13[[#This Row],[nivel_risco]]="Alto"),"Negado","Aprovado")</f>
        <v>Aprovado</v>
      </c>
      <c r="N174" t="str">
        <f>IF(AND(Tabela13[[#This Row],[credito_tomado]]&gt;50000,Tabela13[[#This Row],[flag_inadimplente]]="Sim"),"Negado","Aprovado")</f>
        <v>Aprovado</v>
      </c>
      <c r="O174" s="4">
        <f>IF(AND(Tabela13[[#This Row],[analise_risco]]="Negado",Tabela13[[#This Row],[analise_credito]]="Negado"),0,IF(Tabela13[[#This Row],[status]]="Ativo",Tabela13[[#This Row],[valor_solicitado]]*8%,0))</f>
        <v>0</v>
      </c>
      <c r="P174" s="4">
        <v>41500</v>
      </c>
    </row>
    <row r="175" spans="1:16">
      <c r="A175" t="s">
        <v>71</v>
      </c>
      <c r="B175" t="s">
        <v>428</v>
      </c>
      <c r="C175" s="2" t="s">
        <v>429</v>
      </c>
      <c r="D175" s="24">
        <v>68</v>
      </c>
      <c r="E175" s="3">
        <v>21145</v>
      </c>
      <c r="F175" t="s">
        <v>147</v>
      </c>
      <c r="G175" t="s">
        <v>98</v>
      </c>
      <c r="H175" s="4">
        <v>29000</v>
      </c>
      <c r="I175" s="4">
        <v>67500</v>
      </c>
      <c r="J175" s="5" t="s">
        <v>45</v>
      </c>
      <c r="K175" s="6">
        <v>25</v>
      </c>
      <c r="L175" t="str" cm="1">
        <f t="array" ref="L175">_xlfn.IFS(K175&gt;=26,"Alto",K175&lt;11,"Baixo",K175&lt;26,"Médio")</f>
        <v>Médio</v>
      </c>
      <c r="M175" t="str">
        <f>IF(AND(Tabela13[[#This Row],[flag_inadimplente]]="Sim",Tabela13[[#This Row],[nivel_risco]]="Alto"),"Negado","Aprovado")</f>
        <v>Aprovado</v>
      </c>
      <c r="N175" t="str">
        <f>IF(AND(Tabela13[[#This Row],[credito_tomado]]&gt;50000,Tabela13[[#This Row],[flag_inadimplente]]="Sim"),"Negado","Aprovado")</f>
        <v>Aprovado</v>
      </c>
      <c r="O175" s="4">
        <f>IF(AND(Tabela13[[#This Row],[analise_risco]]="Negado",Tabela13[[#This Row],[analise_credito]]="Negado"),0,IF(Tabela13[[#This Row],[status]]="Ativo",Tabela13[[#This Row],[valor_solicitado]]*8%,0))</f>
        <v>1440</v>
      </c>
      <c r="P175" s="4">
        <v>18000</v>
      </c>
    </row>
    <row r="176" spans="1:16">
      <c r="A176" t="s">
        <v>71</v>
      </c>
      <c r="B176" t="s">
        <v>430</v>
      </c>
      <c r="C176" s="2" t="s">
        <v>431</v>
      </c>
      <c r="D176" s="24">
        <v>49</v>
      </c>
      <c r="E176" s="3">
        <v>28067</v>
      </c>
      <c r="F176" t="s">
        <v>101</v>
      </c>
      <c r="G176" t="s">
        <v>102</v>
      </c>
      <c r="H176" s="4">
        <v>29800</v>
      </c>
      <c r="I176" s="4">
        <v>54500</v>
      </c>
      <c r="J176" s="5" t="s">
        <v>45</v>
      </c>
      <c r="K176" s="6">
        <v>34</v>
      </c>
      <c r="L176" t="str" cm="1">
        <f t="array" ref="L176">_xlfn.IFS(K176&gt;=26,"Alto",K176&lt;11,"Baixo",K176&lt;26,"Médio")</f>
        <v>Alto</v>
      </c>
      <c r="M176" t="str">
        <f>IF(AND(Tabela13[[#This Row],[flag_inadimplente]]="Sim",Tabela13[[#This Row],[nivel_risco]]="Alto"),"Negado","Aprovado")</f>
        <v>Aprovado</v>
      </c>
      <c r="N176" t="str">
        <f>IF(AND(Tabela13[[#This Row],[credito_tomado]]&gt;50000,Tabela13[[#This Row],[flag_inadimplente]]="Sim"),"Negado","Aprovado")</f>
        <v>Aprovado</v>
      </c>
      <c r="O176" s="4">
        <f>IF(AND(Tabela13[[#This Row],[analise_risco]]="Negado",Tabela13[[#This Row],[analise_credito]]="Negado"),0,IF(Tabela13[[#This Row],[status]]="Ativo",Tabela13[[#This Row],[valor_solicitado]]*8%,0))</f>
        <v>5760</v>
      </c>
      <c r="P176" s="4">
        <v>72000</v>
      </c>
    </row>
    <row r="177" spans="1:16">
      <c r="A177" t="s">
        <v>71</v>
      </c>
      <c r="B177" t="s">
        <v>432</v>
      </c>
      <c r="C177" s="2" t="s">
        <v>433</v>
      </c>
      <c r="D177" s="24">
        <v>38</v>
      </c>
      <c r="E177" s="3">
        <v>32152</v>
      </c>
      <c r="F177" t="s">
        <v>298</v>
      </c>
      <c r="G177" t="s">
        <v>79</v>
      </c>
      <c r="H177" s="4">
        <v>2000</v>
      </c>
      <c r="I177" s="4">
        <v>60000</v>
      </c>
      <c r="J177" s="5" t="s">
        <v>45</v>
      </c>
      <c r="K177" s="6">
        <v>18</v>
      </c>
      <c r="L177" t="str" cm="1">
        <f t="array" ref="L177">_xlfn.IFS(K177&gt;=26,"Alto",K177&lt;11,"Baixo",K177&lt;26,"Médio")</f>
        <v>Médio</v>
      </c>
      <c r="M177" t="str">
        <f>IF(AND(Tabela13[[#This Row],[flag_inadimplente]]="Sim",Tabela13[[#This Row],[nivel_risco]]="Alto"),"Negado","Aprovado")</f>
        <v>Aprovado</v>
      </c>
      <c r="N177" t="str">
        <f>IF(AND(Tabela13[[#This Row],[credito_tomado]]&gt;50000,Tabela13[[#This Row],[flag_inadimplente]]="Sim"),"Negado","Aprovado")</f>
        <v>Aprovado</v>
      </c>
      <c r="O177" s="4">
        <f>IF(AND(Tabela13[[#This Row],[analise_risco]]="Negado",Tabela13[[#This Row],[analise_credito]]="Negado"),0,IF(Tabela13[[#This Row],[status]]="Ativo",Tabela13[[#This Row],[valor_solicitado]]*8%,0))</f>
        <v>4320</v>
      </c>
      <c r="P177" s="4">
        <v>54000</v>
      </c>
    </row>
    <row r="178" spans="1:16">
      <c r="A178" t="s">
        <v>85</v>
      </c>
      <c r="B178" t="s">
        <v>434</v>
      </c>
      <c r="C178" s="2" t="s">
        <v>435</v>
      </c>
      <c r="D178" s="24">
        <v>30</v>
      </c>
      <c r="E178" s="3">
        <v>35200</v>
      </c>
      <c r="F178" t="s">
        <v>115</v>
      </c>
      <c r="G178" t="s">
        <v>75</v>
      </c>
      <c r="H178" s="4">
        <v>26500</v>
      </c>
      <c r="I178" s="4">
        <v>14500</v>
      </c>
      <c r="J178" s="5" t="s">
        <v>45</v>
      </c>
      <c r="K178" s="6">
        <v>15</v>
      </c>
      <c r="L178" t="str" cm="1">
        <f t="array" ref="L178">_xlfn.IFS(K178&gt;=26,"Alto",K178&lt;11,"Baixo",K178&lt;26,"Médio")</f>
        <v>Médio</v>
      </c>
      <c r="M178" t="str">
        <f>IF(AND(Tabela13[[#This Row],[flag_inadimplente]]="Sim",Tabela13[[#This Row],[nivel_risco]]="Alto"),"Negado","Aprovado")</f>
        <v>Aprovado</v>
      </c>
      <c r="N178" t="str">
        <f>IF(AND(Tabela13[[#This Row],[credito_tomado]]&gt;50000,Tabela13[[#This Row],[flag_inadimplente]]="Sim"),"Negado","Aprovado")</f>
        <v>Aprovado</v>
      </c>
      <c r="O178" s="4">
        <f>IF(AND(Tabela13[[#This Row],[analise_risco]]="Negado",Tabela13[[#This Row],[analise_credito]]="Negado"),0,IF(Tabela13[[#This Row],[status]]="Ativo",Tabela13[[#This Row],[valor_solicitado]]*8%,0))</f>
        <v>0</v>
      </c>
      <c r="P178" s="4">
        <v>65500</v>
      </c>
    </row>
    <row r="179" spans="1:16">
      <c r="A179" t="s">
        <v>85</v>
      </c>
      <c r="B179" t="s">
        <v>434</v>
      </c>
      <c r="C179" s="2" t="s">
        <v>435</v>
      </c>
      <c r="D179" s="24">
        <v>30</v>
      </c>
      <c r="E179" s="3">
        <v>35200</v>
      </c>
      <c r="F179" t="s">
        <v>115</v>
      </c>
      <c r="G179" t="s">
        <v>75</v>
      </c>
      <c r="H179" s="4">
        <v>26500</v>
      </c>
      <c r="I179" s="4">
        <v>14500</v>
      </c>
      <c r="J179" s="5" t="s">
        <v>45</v>
      </c>
      <c r="K179" s="6">
        <v>15</v>
      </c>
      <c r="L179" t="str" cm="1">
        <f t="array" ref="L179">_xlfn.IFS(K179&gt;=26,"Alto",K179&lt;11,"Baixo",K179&lt;26,"Médio")</f>
        <v>Médio</v>
      </c>
      <c r="M179" t="str">
        <f>IF(AND(Tabela13[[#This Row],[flag_inadimplente]]="Sim",Tabela13[[#This Row],[nivel_risco]]="Alto"),"Negado","Aprovado")</f>
        <v>Aprovado</v>
      </c>
      <c r="N179" t="str">
        <f>IF(AND(Tabela13[[#This Row],[credito_tomado]]&gt;50000,Tabela13[[#This Row],[flag_inadimplente]]="Sim"),"Negado","Aprovado")</f>
        <v>Aprovado</v>
      </c>
      <c r="O179" s="4">
        <f>IF(AND(Tabela13[[#This Row],[analise_risco]]="Negado",Tabela13[[#This Row],[analise_credito]]="Negado"),0,IF(Tabela13[[#This Row],[status]]="Ativo",Tabela13[[#This Row],[valor_solicitado]]*8%,0))</f>
        <v>0</v>
      </c>
      <c r="P179" s="4">
        <v>39000</v>
      </c>
    </row>
    <row r="180" spans="1:16">
      <c r="A180" t="s">
        <v>71</v>
      </c>
      <c r="B180" t="s">
        <v>436</v>
      </c>
      <c r="C180" s="2" t="s">
        <v>437</v>
      </c>
      <c r="D180" s="24">
        <v>68</v>
      </c>
      <c r="E180" s="3" t="s">
        <v>80</v>
      </c>
      <c r="F180" t="s">
        <v>122</v>
      </c>
      <c r="G180" t="s">
        <v>123</v>
      </c>
      <c r="H180" s="4">
        <v>19900</v>
      </c>
      <c r="I180" s="4">
        <v>35000</v>
      </c>
      <c r="J180" s="5" t="s">
        <v>45</v>
      </c>
      <c r="K180" s="6">
        <v>25</v>
      </c>
      <c r="L180" t="str" cm="1">
        <f t="array" ref="L180">_xlfn.IFS(K180&gt;=26,"Alto",K180&lt;11,"Baixo",K180&lt;26,"Médio")</f>
        <v>Médio</v>
      </c>
      <c r="M180" t="str">
        <f>IF(AND(Tabela13[[#This Row],[flag_inadimplente]]="Sim",Tabela13[[#This Row],[nivel_risco]]="Alto"),"Negado","Aprovado")</f>
        <v>Aprovado</v>
      </c>
      <c r="N180" t="str">
        <f>IF(AND(Tabela13[[#This Row],[credito_tomado]]&gt;50000,Tabela13[[#This Row],[flag_inadimplente]]="Sim"),"Negado","Aprovado")</f>
        <v>Aprovado</v>
      </c>
      <c r="O180" s="4">
        <f>IF(AND(Tabela13[[#This Row],[analise_risco]]="Negado",Tabela13[[#This Row],[analise_credito]]="Negado"),0,IF(Tabela13[[#This Row],[status]]="Ativo",Tabela13[[#This Row],[valor_solicitado]]*8%,0))</f>
        <v>4760</v>
      </c>
      <c r="P180" s="4">
        <v>59500</v>
      </c>
    </row>
    <row r="181" spans="1:16">
      <c r="A181" t="s">
        <v>71</v>
      </c>
      <c r="B181" t="s">
        <v>438</v>
      </c>
      <c r="C181" s="2" t="s">
        <v>439</v>
      </c>
      <c r="D181" s="24">
        <v>27</v>
      </c>
      <c r="E181" s="3">
        <v>36308</v>
      </c>
      <c r="F181" t="s">
        <v>83</v>
      </c>
      <c r="G181" t="s">
        <v>84</v>
      </c>
      <c r="H181" s="4">
        <v>5300</v>
      </c>
      <c r="I181" s="4">
        <v>22000</v>
      </c>
      <c r="J181" s="5" t="s">
        <v>45</v>
      </c>
      <c r="K181" s="6">
        <v>11</v>
      </c>
      <c r="L181" t="str" cm="1">
        <f t="array" ref="L181">_xlfn.IFS(K181&gt;=26,"Alto",K181&lt;11,"Baixo",K181&lt;26,"Médio")</f>
        <v>Médio</v>
      </c>
      <c r="M181" t="str">
        <f>IF(AND(Tabela13[[#This Row],[flag_inadimplente]]="Sim",Tabela13[[#This Row],[nivel_risco]]="Alto"),"Negado","Aprovado")</f>
        <v>Aprovado</v>
      </c>
      <c r="N181" t="str">
        <f>IF(AND(Tabela13[[#This Row],[credito_tomado]]&gt;50000,Tabela13[[#This Row],[flag_inadimplente]]="Sim"),"Negado","Aprovado")</f>
        <v>Aprovado</v>
      </c>
      <c r="O181" s="4">
        <f>IF(AND(Tabela13[[#This Row],[analise_risco]]="Negado",Tabela13[[#This Row],[analise_credito]]="Negado"),0,IF(Tabela13[[#This Row],[status]]="Ativo",Tabela13[[#This Row],[valor_solicitado]]*8%,0))</f>
        <v>2280</v>
      </c>
      <c r="P181" s="4">
        <v>28500</v>
      </c>
    </row>
    <row r="182" spans="1:16">
      <c r="A182" t="s">
        <v>71</v>
      </c>
      <c r="B182" t="s">
        <v>438</v>
      </c>
      <c r="C182" s="2" t="s">
        <v>439</v>
      </c>
      <c r="D182" s="24">
        <v>27</v>
      </c>
      <c r="E182" s="3">
        <v>36308</v>
      </c>
      <c r="F182" t="s">
        <v>83</v>
      </c>
      <c r="G182" t="s">
        <v>84</v>
      </c>
      <c r="H182" s="4">
        <v>5300</v>
      </c>
      <c r="I182" s="4">
        <v>22000</v>
      </c>
      <c r="J182" s="5" t="s">
        <v>45</v>
      </c>
      <c r="K182" s="6">
        <v>11</v>
      </c>
      <c r="L182" t="str" cm="1">
        <f t="array" ref="L182">_xlfn.IFS(K182&gt;=26,"Alto",K182&lt;11,"Baixo",K182&lt;26,"Médio")</f>
        <v>Médio</v>
      </c>
      <c r="M182" t="str">
        <f>IF(AND(Tabela13[[#This Row],[flag_inadimplente]]="Sim",Tabela13[[#This Row],[nivel_risco]]="Alto"),"Negado","Aprovado")</f>
        <v>Aprovado</v>
      </c>
      <c r="N182" t="str">
        <f>IF(AND(Tabela13[[#This Row],[credito_tomado]]&gt;50000,Tabela13[[#This Row],[flag_inadimplente]]="Sim"),"Negado","Aprovado")</f>
        <v>Aprovado</v>
      </c>
      <c r="O182" s="4">
        <f>IF(AND(Tabela13[[#This Row],[analise_risco]]="Negado",Tabela13[[#This Row],[analise_credito]]="Negado"),0,IF(Tabela13[[#This Row],[status]]="Ativo",Tabela13[[#This Row],[valor_solicitado]]*8%,0))</f>
        <v>360</v>
      </c>
      <c r="P182" s="4">
        <v>4500</v>
      </c>
    </row>
    <row r="183" spans="1:16">
      <c r="A183" t="s">
        <v>71</v>
      </c>
      <c r="B183" t="s">
        <v>440</v>
      </c>
      <c r="C183" s="2" t="s">
        <v>441</v>
      </c>
      <c r="D183" s="24">
        <v>69</v>
      </c>
      <c r="E183" s="3" t="s">
        <v>80</v>
      </c>
      <c r="F183" t="s">
        <v>115</v>
      </c>
      <c r="G183" t="s">
        <v>75</v>
      </c>
      <c r="H183" s="4">
        <v>4500</v>
      </c>
      <c r="I183" s="4">
        <v>0</v>
      </c>
      <c r="J183" s="5" t="s">
        <v>46</v>
      </c>
      <c r="K183" s="6">
        <v>32</v>
      </c>
      <c r="L183" t="str" cm="1">
        <f t="array" ref="L183">_xlfn.IFS(K183&gt;=26,"Alto",K183&lt;11,"Baixo",K183&lt;26,"Médio")</f>
        <v>Alto</v>
      </c>
      <c r="M183" t="str">
        <f>IF(AND(Tabela13[[#This Row],[flag_inadimplente]]="Sim",Tabela13[[#This Row],[nivel_risco]]="Alto"),"Negado","Aprovado")</f>
        <v>Negado</v>
      </c>
      <c r="N183" t="str">
        <f>IF(AND(Tabela13[[#This Row],[credito_tomado]]&gt;50000,Tabela13[[#This Row],[flag_inadimplente]]="Sim"),"Negado","Aprovado")</f>
        <v>Aprovado</v>
      </c>
      <c r="O183" s="4">
        <f>IF(AND(Tabela13[[#This Row],[analise_risco]]="Negado",Tabela13[[#This Row],[analise_credito]]="Negado"),0,IF(Tabela13[[#This Row],[status]]="Ativo",Tabela13[[#This Row],[valor_solicitado]]*8%,0))</f>
        <v>4520</v>
      </c>
      <c r="P183" s="4">
        <v>56500</v>
      </c>
    </row>
    <row r="184" spans="1:16">
      <c r="A184" t="s">
        <v>71</v>
      </c>
      <c r="B184" t="s">
        <v>442</v>
      </c>
      <c r="C184" s="2" t="s">
        <v>443</v>
      </c>
      <c r="D184" s="24">
        <v>45</v>
      </c>
      <c r="E184" s="3">
        <v>29769</v>
      </c>
      <c r="F184" t="s">
        <v>216</v>
      </c>
      <c r="G184" t="s">
        <v>94</v>
      </c>
      <c r="H184" s="4">
        <v>24400</v>
      </c>
      <c r="I184" s="4">
        <v>7500</v>
      </c>
      <c r="J184" s="5" t="s">
        <v>45</v>
      </c>
      <c r="K184" s="6">
        <v>13</v>
      </c>
      <c r="L184" t="str" cm="1">
        <f t="array" ref="L184">_xlfn.IFS(K184&gt;=26,"Alto",K184&lt;11,"Baixo",K184&lt;26,"Médio")</f>
        <v>Médio</v>
      </c>
      <c r="M184" t="str">
        <f>IF(AND(Tabela13[[#This Row],[flag_inadimplente]]="Sim",Tabela13[[#This Row],[nivel_risco]]="Alto"),"Negado","Aprovado")</f>
        <v>Aprovado</v>
      </c>
      <c r="N184" t="str">
        <f>IF(AND(Tabela13[[#This Row],[credito_tomado]]&gt;50000,Tabela13[[#This Row],[flag_inadimplente]]="Sim"),"Negado","Aprovado")</f>
        <v>Aprovado</v>
      </c>
      <c r="O184" s="4">
        <f>IF(AND(Tabela13[[#This Row],[analise_risco]]="Negado",Tabela13[[#This Row],[analise_credito]]="Negado"),0,IF(Tabela13[[#This Row],[status]]="Ativo",Tabela13[[#This Row],[valor_solicitado]]*8%,0))</f>
        <v>7600</v>
      </c>
      <c r="P184" s="4">
        <v>95000</v>
      </c>
    </row>
    <row r="185" spans="1:16">
      <c r="A185" t="s">
        <v>71</v>
      </c>
      <c r="B185" t="s">
        <v>444</v>
      </c>
      <c r="C185" s="2" t="s">
        <v>445</v>
      </c>
      <c r="D185" s="24">
        <v>29</v>
      </c>
      <c r="E185" s="3">
        <v>35344</v>
      </c>
      <c r="F185" t="s">
        <v>107</v>
      </c>
      <c r="G185" t="s">
        <v>108</v>
      </c>
      <c r="H185" s="4">
        <v>19900</v>
      </c>
      <c r="I185" s="4">
        <v>49500</v>
      </c>
      <c r="J185" s="5" t="s">
        <v>46</v>
      </c>
      <c r="K185" s="6">
        <v>27</v>
      </c>
      <c r="L185" t="str" cm="1">
        <f t="array" ref="L185">_xlfn.IFS(K185&gt;=26,"Alto",K185&lt;11,"Baixo",K185&lt;26,"Médio")</f>
        <v>Alto</v>
      </c>
      <c r="M185" t="str">
        <f>IF(AND(Tabela13[[#This Row],[flag_inadimplente]]="Sim",Tabela13[[#This Row],[nivel_risco]]="Alto"),"Negado","Aprovado")</f>
        <v>Negado</v>
      </c>
      <c r="N185" t="str">
        <f>IF(AND(Tabela13[[#This Row],[credito_tomado]]&gt;50000,Tabela13[[#This Row],[flag_inadimplente]]="Sim"),"Negado","Aprovado")</f>
        <v>Aprovado</v>
      </c>
      <c r="O185" s="4">
        <f>IF(AND(Tabela13[[#This Row],[analise_risco]]="Negado",Tabela13[[#This Row],[analise_credito]]="Negado"),0,IF(Tabela13[[#This Row],[status]]="Ativo",Tabela13[[#This Row],[valor_solicitado]]*8%,0))</f>
        <v>1840</v>
      </c>
      <c r="P185" s="4">
        <v>23000</v>
      </c>
    </row>
    <row r="186" spans="1:16">
      <c r="A186" t="s">
        <v>71</v>
      </c>
      <c r="B186" t="s">
        <v>446</v>
      </c>
      <c r="C186" s="2" t="s">
        <v>447</v>
      </c>
      <c r="D186" s="24">
        <v>28</v>
      </c>
      <c r="E186" s="3" t="s">
        <v>80</v>
      </c>
      <c r="F186" t="s">
        <v>115</v>
      </c>
      <c r="G186" t="s">
        <v>75</v>
      </c>
      <c r="H186" s="4">
        <v>14500</v>
      </c>
      <c r="I186" s="4">
        <v>39500</v>
      </c>
      <c r="J186" s="5" t="s">
        <v>45</v>
      </c>
      <c r="K186" s="6">
        <v>18</v>
      </c>
      <c r="L186" t="str" cm="1">
        <f t="array" ref="L186">_xlfn.IFS(K186&gt;=26,"Alto",K186&lt;11,"Baixo",K186&lt;26,"Médio")</f>
        <v>Médio</v>
      </c>
      <c r="M186" t="str">
        <f>IF(AND(Tabela13[[#This Row],[flag_inadimplente]]="Sim",Tabela13[[#This Row],[nivel_risco]]="Alto"),"Negado","Aprovado")</f>
        <v>Aprovado</v>
      </c>
      <c r="N186" t="str">
        <f>IF(AND(Tabela13[[#This Row],[credito_tomado]]&gt;50000,Tabela13[[#This Row],[flag_inadimplente]]="Sim"),"Negado","Aprovado")</f>
        <v>Aprovado</v>
      </c>
      <c r="O186" s="4">
        <f>IF(AND(Tabela13[[#This Row],[analise_risco]]="Negado",Tabela13[[#This Row],[analise_credito]]="Negado"),0,IF(Tabela13[[#This Row],[status]]="Ativo",Tabela13[[#This Row],[valor_solicitado]]*8%,0))</f>
        <v>2560</v>
      </c>
      <c r="P186" s="4">
        <v>32000</v>
      </c>
    </row>
    <row r="187" spans="1:16">
      <c r="A187" t="s">
        <v>85</v>
      </c>
      <c r="B187" t="s">
        <v>448</v>
      </c>
      <c r="C187" s="2" t="s">
        <v>449</v>
      </c>
      <c r="D187" s="24">
        <v>73</v>
      </c>
      <c r="E187" s="3" t="s">
        <v>80</v>
      </c>
      <c r="F187" t="s">
        <v>97</v>
      </c>
      <c r="G187" t="s">
        <v>98</v>
      </c>
      <c r="H187" s="4">
        <v>19900</v>
      </c>
      <c r="I187" s="4">
        <v>47000</v>
      </c>
      <c r="J187" s="5" t="s">
        <v>45</v>
      </c>
      <c r="K187" s="6">
        <v>19</v>
      </c>
      <c r="L187" t="str" cm="1">
        <f t="array" ref="L187">_xlfn.IFS(K187&gt;=26,"Alto",K187&lt;11,"Baixo",K187&lt;26,"Médio")</f>
        <v>Médio</v>
      </c>
      <c r="M187" t="str">
        <f>IF(AND(Tabela13[[#This Row],[flag_inadimplente]]="Sim",Tabela13[[#This Row],[nivel_risco]]="Alto"),"Negado","Aprovado")</f>
        <v>Aprovado</v>
      </c>
      <c r="N187" t="str">
        <f>IF(AND(Tabela13[[#This Row],[credito_tomado]]&gt;50000,Tabela13[[#This Row],[flag_inadimplente]]="Sim"),"Negado","Aprovado")</f>
        <v>Aprovado</v>
      </c>
      <c r="O187" s="4">
        <f>IF(AND(Tabela13[[#This Row],[analise_risco]]="Negado",Tabela13[[#This Row],[analise_credito]]="Negado"),0,IF(Tabela13[[#This Row],[status]]="Ativo",Tabela13[[#This Row],[valor_solicitado]]*8%,0))</f>
        <v>0</v>
      </c>
      <c r="P187" s="4">
        <v>20500</v>
      </c>
    </row>
    <row r="188" spans="1:16">
      <c r="A188" t="s">
        <v>71</v>
      </c>
      <c r="B188" t="s">
        <v>450</v>
      </c>
      <c r="C188" s="2" t="s">
        <v>451</v>
      </c>
      <c r="D188" s="24">
        <v>44</v>
      </c>
      <c r="E188" s="3">
        <v>29991</v>
      </c>
      <c r="F188" t="s">
        <v>152</v>
      </c>
      <c r="G188" s="7" t="s">
        <v>80</v>
      </c>
      <c r="H188" s="4">
        <v>6700</v>
      </c>
      <c r="I188" s="4">
        <v>16500</v>
      </c>
      <c r="J188" s="5" t="s">
        <v>46</v>
      </c>
      <c r="K188" s="6">
        <v>38</v>
      </c>
      <c r="L188" t="str" cm="1">
        <f t="array" ref="L188">_xlfn.IFS(K188&gt;=26,"Alto",K188&lt;11,"Baixo",K188&lt;26,"Médio")</f>
        <v>Alto</v>
      </c>
      <c r="M188" t="str">
        <f>IF(AND(Tabela13[[#This Row],[flag_inadimplente]]="Sim",Tabela13[[#This Row],[nivel_risco]]="Alto"),"Negado","Aprovado")</f>
        <v>Negado</v>
      </c>
      <c r="N188" t="str">
        <f>IF(AND(Tabela13[[#This Row],[credito_tomado]]&gt;50000,Tabela13[[#This Row],[flag_inadimplente]]="Sim"),"Negado","Aprovado")</f>
        <v>Aprovado</v>
      </c>
      <c r="O188" s="4">
        <f>IF(AND(Tabela13[[#This Row],[analise_risco]]="Negado",Tabela13[[#This Row],[analise_credito]]="Negado"),0,IF(Tabela13[[#This Row],[status]]="Ativo",Tabela13[[#This Row],[valor_solicitado]]*8%,0))</f>
        <v>1240</v>
      </c>
      <c r="P188" s="4">
        <v>15500</v>
      </c>
    </row>
    <row r="189" spans="1:16">
      <c r="A189" t="s">
        <v>71</v>
      </c>
      <c r="B189" t="s">
        <v>452</v>
      </c>
      <c r="C189" s="2" t="s">
        <v>453</v>
      </c>
      <c r="D189" s="24">
        <v>25</v>
      </c>
      <c r="E189" s="3">
        <v>37125</v>
      </c>
      <c r="F189" t="s">
        <v>90</v>
      </c>
      <c r="G189" t="s">
        <v>90</v>
      </c>
      <c r="H189" s="4">
        <v>2500</v>
      </c>
      <c r="I189" s="4">
        <v>72500</v>
      </c>
      <c r="J189" s="5" t="s">
        <v>45</v>
      </c>
      <c r="K189" s="6">
        <v>32</v>
      </c>
      <c r="L189" t="str" cm="1">
        <f t="array" ref="L189">_xlfn.IFS(K189&gt;=26,"Alto",K189&lt;11,"Baixo",K189&lt;26,"Médio")</f>
        <v>Alto</v>
      </c>
      <c r="M189" t="str">
        <f>IF(AND(Tabela13[[#This Row],[flag_inadimplente]]="Sim",Tabela13[[#This Row],[nivel_risco]]="Alto"),"Negado","Aprovado")</f>
        <v>Aprovado</v>
      </c>
      <c r="N189" t="str">
        <f>IF(AND(Tabela13[[#This Row],[credito_tomado]]&gt;50000,Tabela13[[#This Row],[flag_inadimplente]]="Sim"),"Negado","Aprovado")</f>
        <v>Aprovado</v>
      </c>
      <c r="O189" s="4">
        <f>IF(AND(Tabela13[[#This Row],[analise_risco]]="Negado",Tabela13[[#This Row],[analise_credito]]="Negado"),0,IF(Tabela13[[#This Row],[status]]="Ativo",Tabela13[[#This Row],[valor_solicitado]]*8%,0))</f>
        <v>7760</v>
      </c>
      <c r="P189" s="4">
        <v>97000</v>
      </c>
    </row>
    <row r="190" spans="1:16">
      <c r="A190" t="s">
        <v>85</v>
      </c>
      <c r="B190" t="s">
        <v>454</v>
      </c>
      <c r="C190" s="2" t="s">
        <v>455</v>
      </c>
      <c r="D190" s="24">
        <v>31</v>
      </c>
      <c r="E190" s="3">
        <v>34738</v>
      </c>
      <c r="F190" t="s">
        <v>149</v>
      </c>
      <c r="G190" t="s">
        <v>79</v>
      </c>
      <c r="H190" s="4">
        <v>22600</v>
      </c>
      <c r="I190" s="4">
        <v>58000</v>
      </c>
      <c r="J190" s="5" t="s">
        <v>45</v>
      </c>
      <c r="K190" s="6">
        <v>5</v>
      </c>
      <c r="L190" t="str" cm="1">
        <f t="array" ref="L190">_xlfn.IFS(K190&gt;=26,"Alto",K190&lt;11,"Baixo",K190&lt;26,"Médio")</f>
        <v>Baixo</v>
      </c>
      <c r="M190" t="str">
        <f>IF(AND(Tabela13[[#This Row],[flag_inadimplente]]="Sim",Tabela13[[#This Row],[nivel_risco]]="Alto"),"Negado","Aprovado")</f>
        <v>Aprovado</v>
      </c>
      <c r="N190" t="str">
        <f>IF(AND(Tabela13[[#This Row],[credito_tomado]]&gt;50000,Tabela13[[#This Row],[flag_inadimplente]]="Sim"),"Negado","Aprovado")</f>
        <v>Aprovado</v>
      </c>
      <c r="O190" s="4">
        <f>IF(AND(Tabela13[[#This Row],[analise_risco]]="Negado",Tabela13[[#This Row],[analise_credito]]="Negado"),0,IF(Tabela13[[#This Row],[status]]="Ativo",Tabela13[[#This Row],[valor_solicitado]]*8%,0))</f>
        <v>0</v>
      </c>
      <c r="P190" s="4">
        <v>26500</v>
      </c>
    </row>
    <row r="191" spans="1:16">
      <c r="A191" t="s">
        <v>71</v>
      </c>
      <c r="B191" t="s">
        <v>456</v>
      </c>
      <c r="C191" s="2" t="s">
        <v>457</v>
      </c>
      <c r="D191" s="24">
        <v>36</v>
      </c>
      <c r="E191" s="3">
        <v>32791</v>
      </c>
      <c r="F191" t="s">
        <v>78</v>
      </c>
      <c r="G191" t="s">
        <v>79</v>
      </c>
      <c r="H191" s="4">
        <v>23900</v>
      </c>
      <c r="I191" s="4">
        <v>58000</v>
      </c>
      <c r="J191" s="5" t="s">
        <v>45</v>
      </c>
      <c r="K191" s="6">
        <v>27</v>
      </c>
      <c r="L191" t="str" cm="1">
        <f t="array" ref="L191">_xlfn.IFS(K191&gt;=26,"Alto",K191&lt;11,"Baixo",K191&lt;26,"Médio")</f>
        <v>Alto</v>
      </c>
      <c r="M191" t="str">
        <f>IF(AND(Tabela13[[#This Row],[flag_inadimplente]]="Sim",Tabela13[[#This Row],[nivel_risco]]="Alto"),"Negado","Aprovado")</f>
        <v>Aprovado</v>
      </c>
      <c r="N191" t="str">
        <f>IF(AND(Tabela13[[#This Row],[credito_tomado]]&gt;50000,Tabela13[[#This Row],[flag_inadimplente]]="Sim"),"Negado","Aprovado")</f>
        <v>Aprovado</v>
      </c>
      <c r="O191" s="4">
        <f>IF(AND(Tabela13[[#This Row],[analise_risco]]="Negado",Tabela13[[#This Row],[analise_credito]]="Negado"),0,IF(Tabela13[[#This Row],[status]]="Ativo",Tabela13[[#This Row],[valor_solicitado]]*8%,0))</f>
        <v>3040</v>
      </c>
      <c r="P191" s="4">
        <v>38000</v>
      </c>
    </row>
    <row r="192" spans="1:16">
      <c r="A192" t="s">
        <v>85</v>
      </c>
      <c r="B192" t="s">
        <v>458</v>
      </c>
      <c r="C192" s="2" t="s">
        <v>459</v>
      </c>
      <c r="D192" s="24">
        <v>50</v>
      </c>
      <c r="E192" s="3">
        <v>27833</v>
      </c>
      <c r="F192" t="s">
        <v>83</v>
      </c>
      <c r="G192" t="s">
        <v>84</v>
      </c>
      <c r="H192" s="4">
        <v>16200</v>
      </c>
      <c r="I192" s="4">
        <v>25000</v>
      </c>
      <c r="J192" s="5" t="s">
        <v>45</v>
      </c>
      <c r="K192" s="6">
        <v>26</v>
      </c>
      <c r="L192" t="str" cm="1">
        <f t="array" ref="L192">_xlfn.IFS(K192&gt;=26,"Alto",K192&lt;11,"Baixo",K192&lt;26,"Médio")</f>
        <v>Alto</v>
      </c>
      <c r="M192" t="str">
        <f>IF(AND(Tabela13[[#This Row],[flag_inadimplente]]="Sim",Tabela13[[#This Row],[nivel_risco]]="Alto"),"Negado","Aprovado")</f>
        <v>Aprovado</v>
      </c>
      <c r="N192" t="str">
        <f>IF(AND(Tabela13[[#This Row],[credito_tomado]]&gt;50000,Tabela13[[#This Row],[flag_inadimplente]]="Sim"),"Negado","Aprovado")</f>
        <v>Aprovado</v>
      </c>
      <c r="O192" s="4">
        <f>IF(AND(Tabela13[[#This Row],[analise_risco]]="Negado",Tabela13[[#This Row],[analise_credito]]="Negado"),0,IF(Tabela13[[#This Row],[status]]="Ativo",Tabela13[[#This Row],[valor_solicitado]]*8%,0))</f>
        <v>0</v>
      </c>
      <c r="P192" s="4">
        <v>65000</v>
      </c>
    </row>
    <row r="193" spans="1:16">
      <c r="A193" t="s">
        <v>71</v>
      </c>
      <c r="B193" t="s">
        <v>460</v>
      </c>
      <c r="C193" s="2" t="s">
        <v>461</v>
      </c>
      <c r="D193" s="24">
        <v>63</v>
      </c>
      <c r="E193" s="3">
        <v>23231</v>
      </c>
      <c r="F193" t="s">
        <v>270</v>
      </c>
      <c r="G193" t="s">
        <v>98</v>
      </c>
      <c r="H193" s="4">
        <v>16800</v>
      </c>
      <c r="I193" s="4">
        <v>0</v>
      </c>
      <c r="J193" s="5" t="s">
        <v>211</v>
      </c>
      <c r="K193" s="6">
        <v>32</v>
      </c>
      <c r="L193" t="str" cm="1">
        <f t="array" ref="L193">_xlfn.IFS(K193&gt;=26,"Alto",K193&lt;11,"Baixo",K193&lt;26,"Médio")</f>
        <v>Alto</v>
      </c>
      <c r="M193" t="str">
        <f>IF(AND(Tabela13[[#This Row],[flag_inadimplente]]="Sim",Tabela13[[#This Row],[nivel_risco]]="Alto"),"Negado","Aprovado")</f>
        <v>Aprovado</v>
      </c>
      <c r="N193" t="str">
        <f>IF(AND(Tabela13[[#This Row],[credito_tomado]]&gt;50000,Tabela13[[#This Row],[flag_inadimplente]]="Sim"),"Negado","Aprovado")</f>
        <v>Aprovado</v>
      </c>
      <c r="O193" s="4">
        <f>IF(AND(Tabela13[[#This Row],[analise_risco]]="Negado",Tabela13[[#This Row],[analise_credito]]="Negado"),0,IF(Tabela13[[#This Row],[status]]="Ativo",Tabela13[[#This Row],[valor_solicitado]]*8%,0))</f>
        <v>4920</v>
      </c>
      <c r="P193" s="4">
        <v>61500</v>
      </c>
    </row>
    <row r="194" spans="1:16">
      <c r="A194" t="s">
        <v>71</v>
      </c>
      <c r="B194" t="s">
        <v>462</v>
      </c>
      <c r="C194" s="2" t="s">
        <v>463</v>
      </c>
      <c r="D194" s="24">
        <v>22</v>
      </c>
      <c r="E194" s="3">
        <v>38079</v>
      </c>
      <c r="F194" t="s">
        <v>216</v>
      </c>
      <c r="G194" t="s">
        <v>94</v>
      </c>
      <c r="H194" s="4">
        <v>9200</v>
      </c>
      <c r="I194" s="4">
        <v>5000</v>
      </c>
      <c r="J194" s="5" t="s">
        <v>45</v>
      </c>
      <c r="K194" s="6">
        <v>42</v>
      </c>
      <c r="L194" t="str" cm="1">
        <f t="array" ref="L194">_xlfn.IFS(K194&gt;=26,"Alto",K194&lt;11,"Baixo",K194&lt;26,"Médio")</f>
        <v>Alto</v>
      </c>
      <c r="M194" t="str">
        <f>IF(AND(Tabela13[[#This Row],[flag_inadimplente]]="Sim",Tabela13[[#This Row],[nivel_risco]]="Alto"),"Negado","Aprovado")</f>
        <v>Aprovado</v>
      </c>
      <c r="N194" t="str">
        <f>IF(AND(Tabela13[[#This Row],[credito_tomado]]&gt;50000,Tabela13[[#This Row],[flag_inadimplente]]="Sim"),"Negado","Aprovado")</f>
        <v>Aprovado</v>
      </c>
      <c r="O194" s="4">
        <f>IF(AND(Tabela13[[#This Row],[analise_risco]]="Negado",Tabela13[[#This Row],[analise_credito]]="Negado"),0,IF(Tabela13[[#This Row],[status]]="Ativo",Tabela13[[#This Row],[valor_solicitado]]*8%,0))</f>
        <v>5080</v>
      </c>
      <c r="P194" s="4">
        <v>63500</v>
      </c>
    </row>
    <row r="195" spans="1:16">
      <c r="A195" t="s">
        <v>71</v>
      </c>
      <c r="B195" t="s">
        <v>464</v>
      </c>
      <c r="C195" s="2" t="s">
        <v>465</v>
      </c>
      <c r="D195" s="24">
        <v>34</v>
      </c>
      <c r="E195" s="3">
        <v>33624</v>
      </c>
      <c r="F195" t="s">
        <v>101</v>
      </c>
      <c r="G195" t="s">
        <v>102</v>
      </c>
      <c r="H195" s="4">
        <v>8000</v>
      </c>
      <c r="I195" s="4">
        <v>14500</v>
      </c>
      <c r="J195" s="5" t="s">
        <v>46</v>
      </c>
      <c r="K195" s="6">
        <v>9</v>
      </c>
      <c r="L195" t="str" cm="1">
        <f t="array" ref="L195">_xlfn.IFS(K195&gt;=26,"Alto",K195&lt;11,"Baixo",K195&lt;26,"Médio")</f>
        <v>Baixo</v>
      </c>
      <c r="M195" t="str">
        <f>IF(AND(Tabela13[[#This Row],[flag_inadimplente]]="Sim",Tabela13[[#This Row],[nivel_risco]]="Alto"),"Negado","Aprovado")</f>
        <v>Aprovado</v>
      </c>
      <c r="N195" t="str">
        <f>IF(AND(Tabela13[[#This Row],[credito_tomado]]&gt;50000,Tabela13[[#This Row],[flag_inadimplente]]="Sim"),"Negado","Aprovado")</f>
        <v>Aprovado</v>
      </c>
      <c r="O195" s="4">
        <f>IF(AND(Tabela13[[#This Row],[analise_risco]]="Negado",Tabela13[[#This Row],[analise_credito]]="Negado"),0,IF(Tabela13[[#This Row],[status]]="Ativo",Tabela13[[#This Row],[valor_solicitado]]*8%,0))</f>
        <v>1400</v>
      </c>
      <c r="P195" s="4">
        <v>17500</v>
      </c>
    </row>
    <row r="196" spans="1:16">
      <c r="A196" t="s">
        <v>85</v>
      </c>
      <c r="B196" t="s">
        <v>466</v>
      </c>
      <c r="C196" s="2" t="s">
        <v>467</v>
      </c>
      <c r="D196" s="24">
        <v>31</v>
      </c>
      <c r="E196" s="3">
        <v>34824</v>
      </c>
      <c r="F196" t="s">
        <v>93</v>
      </c>
      <c r="G196" t="s">
        <v>94</v>
      </c>
      <c r="H196" s="4">
        <v>29500</v>
      </c>
      <c r="I196" s="4">
        <v>5000</v>
      </c>
      <c r="J196" s="5" t="s">
        <v>45</v>
      </c>
      <c r="K196" s="6">
        <v>22</v>
      </c>
      <c r="L196" t="str" cm="1">
        <f t="array" ref="L196">_xlfn.IFS(K196&gt;=26,"Alto",K196&lt;11,"Baixo",K196&lt;26,"Médio")</f>
        <v>Médio</v>
      </c>
      <c r="M196" t="str">
        <f>IF(AND(Tabela13[[#This Row],[flag_inadimplente]]="Sim",Tabela13[[#This Row],[nivel_risco]]="Alto"),"Negado","Aprovado")</f>
        <v>Aprovado</v>
      </c>
      <c r="N196" t="str">
        <f>IF(AND(Tabela13[[#This Row],[credito_tomado]]&gt;50000,Tabela13[[#This Row],[flag_inadimplente]]="Sim"),"Negado","Aprovado")</f>
        <v>Aprovado</v>
      </c>
      <c r="O196" s="4">
        <f>IF(AND(Tabela13[[#This Row],[analise_risco]]="Negado",Tabela13[[#This Row],[analise_credito]]="Negado"),0,IF(Tabela13[[#This Row],[status]]="Ativo",Tabela13[[#This Row],[valor_solicitado]]*8%,0))</f>
        <v>0</v>
      </c>
      <c r="P196" s="4">
        <v>18000</v>
      </c>
    </row>
    <row r="197" spans="1:16">
      <c r="A197" s="7" t="s">
        <v>80</v>
      </c>
      <c r="B197" t="s">
        <v>468</v>
      </c>
      <c r="C197" s="2" t="s">
        <v>469</v>
      </c>
      <c r="D197" s="24">
        <v>63</v>
      </c>
      <c r="E197" s="3">
        <v>22974</v>
      </c>
      <c r="F197" t="s">
        <v>90</v>
      </c>
      <c r="G197" t="s">
        <v>90</v>
      </c>
      <c r="H197" s="4">
        <v>14700</v>
      </c>
      <c r="I197" s="4">
        <v>0</v>
      </c>
      <c r="J197" s="5" t="s">
        <v>348</v>
      </c>
      <c r="K197" s="6">
        <v>40</v>
      </c>
      <c r="L197" t="str" cm="1">
        <f t="array" ref="L197">_xlfn.IFS(K197&gt;=26,"Alto",K197&lt;11,"Baixo",K197&lt;26,"Médio")</f>
        <v>Alto</v>
      </c>
      <c r="M197" t="str">
        <f>IF(AND(Tabela13[[#This Row],[flag_inadimplente]]="Sim",Tabela13[[#This Row],[nivel_risco]]="Alto"),"Negado","Aprovado")</f>
        <v>Negado</v>
      </c>
      <c r="N197" t="str">
        <f>IF(AND(Tabela13[[#This Row],[credito_tomado]]&gt;50000,Tabela13[[#This Row],[flag_inadimplente]]="Sim"),"Negado","Aprovado")</f>
        <v>Aprovado</v>
      </c>
      <c r="O197" s="4">
        <f>IF(AND(Tabela13[[#This Row],[analise_risco]]="Negado",Tabela13[[#This Row],[analise_credito]]="Negado"),0,IF(Tabela13[[#This Row],[status]]="Ativo",Tabela13[[#This Row],[valor_solicitado]]*8%,0))</f>
        <v>0</v>
      </c>
      <c r="P197" s="4">
        <v>83500</v>
      </c>
    </row>
    <row r="198" spans="1:16">
      <c r="A198" t="s">
        <v>71</v>
      </c>
      <c r="B198" t="s">
        <v>470</v>
      </c>
      <c r="C198" s="2" t="s">
        <v>471</v>
      </c>
      <c r="D198" s="24">
        <v>53</v>
      </c>
      <c r="E198" s="3">
        <v>26584</v>
      </c>
      <c r="F198" t="s">
        <v>147</v>
      </c>
      <c r="G198" t="s">
        <v>98</v>
      </c>
      <c r="H198" s="4">
        <v>12200</v>
      </c>
      <c r="I198" s="4">
        <v>79500</v>
      </c>
      <c r="J198" s="5" t="s">
        <v>45</v>
      </c>
      <c r="K198" s="6">
        <v>45</v>
      </c>
      <c r="L198" t="str" cm="1">
        <f t="array" ref="L198">_xlfn.IFS(K198&gt;=26,"Alto",K198&lt;11,"Baixo",K198&lt;26,"Médio")</f>
        <v>Alto</v>
      </c>
      <c r="M198" t="str">
        <f>IF(AND(Tabela13[[#This Row],[flag_inadimplente]]="Sim",Tabela13[[#This Row],[nivel_risco]]="Alto"),"Negado","Aprovado")</f>
        <v>Aprovado</v>
      </c>
      <c r="N198" t="str">
        <f>IF(AND(Tabela13[[#This Row],[credito_tomado]]&gt;50000,Tabela13[[#This Row],[flag_inadimplente]]="Sim"),"Negado","Aprovado")</f>
        <v>Aprovado</v>
      </c>
      <c r="O198" s="4">
        <f>IF(AND(Tabela13[[#This Row],[analise_risco]]="Negado",Tabela13[[#This Row],[analise_credito]]="Negado"),0,IF(Tabela13[[#This Row],[status]]="Ativo",Tabela13[[#This Row],[valor_solicitado]]*8%,0))</f>
        <v>4560</v>
      </c>
      <c r="P198" s="4">
        <v>57000</v>
      </c>
    </row>
    <row r="199" spans="1:16">
      <c r="A199" t="s">
        <v>71</v>
      </c>
      <c r="B199" t="s">
        <v>470</v>
      </c>
      <c r="C199" s="2" t="s">
        <v>471</v>
      </c>
      <c r="D199" s="24">
        <v>53</v>
      </c>
      <c r="E199" s="3">
        <v>26584</v>
      </c>
      <c r="F199" t="s">
        <v>147</v>
      </c>
      <c r="G199" t="s">
        <v>98</v>
      </c>
      <c r="H199" s="4">
        <v>12200</v>
      </c>
      <c r="I199" s="4">
        <v>79500</v>
      </c>
      <c r="J199" s="5" t="s">
        <v>45</v>
      </c>
      <c r="K199" s="6">
        <v>45</v>
      </c>
      <c r="L199" t="str" cm="1">
        <f t="array" ref="L199">_xlfn.IFS(K199&gt;=26,"Alto",K199&lt;11,"Baixo",K199&lt;26,"Médio")</f>
        <v>Alto</v>
      </c>
      <c r="M199" t="str">
        <f>IF(AND(Tabela13[[#This Row],[flag_inadimplente]]="Sim",Tabela13[[#This Row],[nivel_risco]]="Alto"),"Negado","Aprovado")</f>
        <v>Aprovado</v>
      </c>
      <c r="N199" t="str">
        <f>IF(AND(Tabela13[[#This Row],[credito_tomado]]&gt;50000,Tabela13[[#This Row],[flag_inadimplente]]="Sim"),"Negado","Aprovado")</f>
        <v>Aprovado</v>
      </c>
      <c r="O199" s="4">
        <f>IF(AND(Tabela13[[#This Row],[analise_risco]]="Negado",Tabela13[[#This Row],[analise_credito]]="Negado"),0,IF(Tabela13[[#This Row],[status]]="Ativo",Tabela13[[#This Row],[valor_solicitado]]*8%,0))</f>
        <v>4960</v>
      </c>
      <c r="P199" s="4">
        <v>62000</v>
      </c>
    </row>
    <row r="200" spans="1:16">
      <c r="A200" t="s">
        <v>71</v>
      </c>
      <c r="B200" t="s">
        <v>472</v>
      </c>
      <c r="C200" s="2" t="s">
        <v>473</v>
      </c>
      <c r="D200" s="24" t="s">
        <v>80</v>
      </c>
      <c r="E200" s="3">
        <v>19168</v>
      </c>
      <c r="F200" t="s">
        <v>101</v>
      </c>
      <c r="G200" t="s">
        <v>102</v>
      </c>
      <c r="H200" s="4">
        <v>25000</v>
      </c>
      <c r="I200" s="4">
        <v>0</v>
      </c>
      <c r="J200" s="5" t="s">
        <v>45</v>
      </c>
      <c r="K200" s="6">
        <v>3</v>
      </c>
      <c r="L200" t="str" cm="1">
        <f t="array" ref="L200">_xlfn.IFS(K200&gt;=26,"Alto",K200&lt;11,"Baixo",K200&lt;26,"Médio")</f>
        <v>Baixo</v>
      </c>
      <c r="M200" t="str">
        <f>IF(AND(Tabela13[[#This Row],[flag_inadimplente]]="Sim",Tabela13[[#This Row],[nivel_risco]]="Alto"),"Negado","Aprovado")</f>
        <v>Aprovado</v>
      </c>
      <c r="N200" t="str">
        <f>IF(AND(Tabela13[[#This Row],[credito_tomado]]&gt;50000,Tabela13[[#This Row],[flag_inadimplente]]="Sim"),"Negado","Aprovado")</f>
        <v>Aprovado</v>
      </c>
      <c r="O200" s="4">
        <f>IF(AND(Tabela13[[#This Row],[analise_risco]]="Negado",Tabela13[[#This Row],[analise_credito]]="Negado"),0,IF(Tabela13[[#This Row],[status]]="Ativo",Tabela13[[#This Row],[valor_solicitado]]*8%,0))</f>
        <v>200</v>
      </c>
      <c r="P200" s="4">
        <v>2500</v>
      </c>
    </row>
    <row r="201" spans="1:16">
      <c r="A201" t="s">
        <v>71</v>
      </c>
      <c r="B201" t="s">
        <v>474</v>
      </c>
      <c r="C201" s="2" t="s">
        <v>475</v>
      </c>
      <c r="D201" s="24">
        <v>69</v>
      </c>
      <c r="E201" s="3">
        <v>21051</v>
      </c>
      <c r="F201" t="s">
        <v>216</v>
      </c>
      <c r="G201" t="s">
        <v>94</v>
      </c>
      <c r="H201" s="4">
        <v>25100</v>
      </c>
      <c r="I201" s="4">
        <v>40500</v>
      </c>
      <c r="J201" s="5" t="s">
        <v>45</v>
      </c>
      <c r="K201" s="6">
        <v>43</v>
      </c>
      <c r="L201" t="str" cm="1">
        <f t="array" ref="L201">_xlfn.IFS(K201&gt;=26,"Alto",K201&lt;11,"Baixo",K201&lt;26,"Médio")</f>
        <v>Alto</v>
      </c>
      <c r="M201" t="str">
        <f>IF(AND(Tabela13[[#This Row],[flag_inadimplente]]="Sim",Tabela13[[#This Row],[nivel_risco]]="Alto"),"Negado","Aprovado")</f>
        <v>Aprovado</v>
      </c>
      <c r="N201" t="str">
        <f>IF(AND(Tabela13[[#This Row],[credito_tomado]]&gt;50000,Tabela13[[#This Row],[flag_inadimplente]]="Sim"),"Negado","Aprovado")</f>
        <v>Aprovado</v>
      </c>
      <c r="O201" s="4">
        <f>IF(AND(Tabela13[[#This Row],[analise_risco]]="Negado",Tabela13[[#This Row],[analise_credito]]="Negado"),0,IF(Tabela13[[#This Row],[status]]="Ativo",Tabela13[[#This Row],[valor_solicitado]]*8%,0))</f>
        <v>1960</v>
      </c>
      <c r="P201" s="4">
        <v>24500</v>
      </c>
    </row>
    <row r="202" spans="1:16">
      <c r="A202" t="s">
        <v>71</v>
      </c>
      <c r="B202" t="s">
        <v>476</v>
      </c>
      <c r="C202" s="2" t="s">
        <v>477</v>
      </c>
      <c r="D202" s="24">
        <v>22</v>
      </c>
      <c r="E202" s="3" t="s">
        <v>80</v>
      </c>
      <c r="F202" t="s">
        <v>74</v>
      </c>
      <c r="G202" t="s">
        <v>75</v>
      </c>
      <c r="H202" s="4">
        <v>14400</v>
      </c>
      <c r="I202" s="4">
        <v>0</v>
      </c>
      <c r="J202" s="5" t="s">
        <v>45</v>
      </c>
      <c r="K202" s="6">
        <v>27</v>
      </c>
      <c r="L202" t="str" cm="1">
        <f t="array" ref="L202">_xlfn.IFS(K202&gt;=26,"Alto",K202&lt;11,"Baixo",K202&lt;26,"Médio")</f>
        <v>Alto</v>
      </c>
      <c r="M202" t="str">
        <f>IF(AND(Tabela13[[#This Row],[flag_inadimplente]]="Sim",Tabela13[[#This Row],[nivel_risco]]="Alto"),"Negado","Aprovado")</f>
        <v>Aprovado</v>
      </c>
      <c r="N202" t="str">
        <f>IF(AND(Tabela13[[#This Row],[credito_tomado]]&gt;50000,Tabela13[[#This Row],[flag_inadimplente]]="Sim"),"Negado","Aprovado")</f>
        <v>Aprovado</v>
      </c>
      <c r="O202" s="4">
        <f>IF(AND(Tabela13[[#This Row],[analise_risco]]="Negado",Tabela13[[#This Row],[analise_credito]]="Negado"),0,IF(Tabela13[[#This Row],[status]]="Ativo",Tabela13[[#This Row],[valor_solicitado]]*8%,0))</f>
        <v>2680</v>
      </c>
      <c r="P202" s="4">
        <v>33500</v>
      </c>
    </row>
    <row r="203" spans="1:16">
      <c r="A203" t="s">
        <v>85</v>
      </c>
      <c r="B203" t="s">
        <v>476</v>
      </c>
      <c r="C203" s="2" t="s">
        <v>478</v>
      </c>
      <c r="D203" s="24">
        <v>58</v>
      </c>
      <c r="E203" s="3">
        <v>25054</v>
      </c>
      <c r="F203" t="s">
        <v>152</v>
      </c>
      <c r="G203" t="s">
        <v>123</v>
      </c>
      <c r="H203" s="4">
        <v>4500</v>
      </c>
      <c r="I203" s="4">
        <v>20000</v>
      </c>
      <c r="J203" s="5" t="s">
        <v>46</v>
      </c>
      <c r="K203" s="6">
        <v>9</v>
      </c>
      <c r="L203" t="str" cm="1">
        <f t="array" ref="L203">_xlfn.IFS(K203&gt;=26,"Alto",K203&lt;11,"Baixo",K203&lt;26,"Médio")</f>
        <v>Baixo</v>
      </c>
      <c r="M203" t="str">
        <f>IF(AND(Tabela13[[#This Row],[flag_inadimplente]]="Sim",Tabela13[[#This Row],[nivel_risco]]="Alto"),"Negado","Aprovado")</f>
        <v>Aprovado</v>
      </c>
      <c r="N203" t="str">
        <f>IF(AND(Tabela13[[#This Row],[credito_tomado]]&gt;50000,Tabela13[[#This Row],[flag_inadimplente]]="Sim"),"Negado","Aprovado")</f>
        <v>Aprovado</v>
      </c>
      <c r="O203" s="4">
        <f>IF(AND(Tabela13[[#This Row],[analise_risco]]="Negado",Tabela13[[#This Row],[analise_credito]]="Negado"),0,IF(Tabela13[[#This Row],[status]]="Ativo",Tabela13[[#This Row],[valor_solicitado]]*8%,0))</f>
        <v>0</v>
      </c>
      <c r="P203" s="4">
        <v>49000</v>
      </c>
    </row>
    <row r="204" spans="1:16">
      <c r="A204" t="s">
        <v>71</v>
      </c>
      <c r="B204" t="s">
        <v>479</v>
      </c>
      <c r="C204" s="2" t="s">
        <v>480</v>
      </c>
      <c r="D204" s="24">
        <v>40</v>
      </c>
      <c r="E204" s="3">
        <v>31647</v>
      </c>
      <c r="F204" t="s">
        <v>147</v>
      </c>
      <c r="G204" t="s">
        <v>98</v>
      </c>
      <c r="H204" s="4">
        <v>18700</v>
      </c>
      <c r="I204" s="4">
        <v>15000</v>
      </c>
      <c r="J204" s="5" t="s">
        <v>211</v>
      </c>
      <c r="K204" s="6">
        <v>26</v>
      </c>
      <c r="L204" t="str" cm="1">
        <f t="array" ref="L204">_xlfn.IFS(K204&gt;=26,"Alto",K204&lt;11,"Baixo",K204&lt;26,"Médio")</f>
        <v>Alto</v>
      </c>
      <c r="M204" t="str">
        <f>IF(AND(Tabela13[[#This Row],[flag_inadimplente]]="Sim",Tabela13[[#This Row],[nivel_risco]]="Alto"),"Negado","Aprovado")</f>
        <v>Aprovado</v>
      </c>
      <c r="N204" t="str">
        <f>IF(AND(Tabela13[[#This Row],[credito_tomado]]&gt;50000,Tabela13[[#This Row],[flag_inadimplente]]="Sim"),"Negado","Aprovado")</f>
        <v>Aprovado</v>
      </c>
      <c r="O204" s="4">
        <f>IF(AND(Tabela13[[#This Row],[analise_risco]]="Negado",Tabela13[[#This Row],[analise_credito]]="Negado"),0,IF(Tabela13[[#This Row],[status]]="Ativo",Tabela13[[#This Row],[valor_solicitado]]*8%,0))</f>
        <v>7160</v>
      </c>
      <c r="P204" s="4">
        <v>89500</v>
      </c>
    </row>
    <row r="205" spans="1:16">
      <c r="A205" t="s">
        <v>71</v>
      </c>
      <c r="B205" t="s">
        <v>481</v>
      </c>
      <c r="C205" s="2" t="s">
        <v>482</v>
      </c>
      <c r="D205" s="24">
        <v>29</v>
      </c>
      <c r="E205" s="3">
        <v>35392</v>
      </c>
      <c r="F205" t="s">
        <v>188</v>
      </c>
      <c r="G205" s="7" t="s">
        <v>80</v>
      </c>
      <c r="H205" s="4">
        <v>6400</v>
      </c>
      <c r="I205" s="4">
        <v>19500</v>
      </c>
      <c r="J205" s="5" t="s">
        <v>45</v>
      </c>
      <c r="K205" s="6">
        <v>30</v>
      </c>
      <c r="L205" t="str" cm="1">
        <f t="array" ref="L205">_xlfn.IFS(K205&gt;=26,"Alto",K205&lt;11,"Baixo",K205&lt;26,"Médio")</f>
        <v>Alto</v>
      </c>
      <c r="M205" t="str">
        <f>IF(AND(Tabela13[[#This Row],[flag_inadimplente]]="Sim",Tabela13[[#This Row],[nivel_risco]]="Alto"),"Negado","Aprovado")</f>
        <v>Aprovado</v>
      </c>
      <c r="N205" t="str">
        <f>IF(AND(Tabela13[[#This Row],[credito_tomado]]&gt;50000,Tabela13[[#This Row],[flag_inadimplente]]="Sim"),"Negado","Aprovado")</f>
        <v>Aprovado</v>
      </c>
      <c r="O205" s="4">
        <f>IF(AND(Tabela13[[#This Row],[analise_risco]]="Negado",Tabela13[[#This Row],[analise_credito]]="Negado"),0,IF(Tabela13[[#This Row],[status]]="Ativo",Tabela13[[#This Row],[valor_solicitado]]*8%,0))</f>
        <v>4080</v>
      </c>
      <c r="P205" s="4">
        <v>51000</v>
      </c>
    </row>
    <row r="206" spans="1:16">
      <c r="A206" t="s">
        <v>85</v>
      </c>
      <c r="B206" t="s">
        <v>483</v>
      </c>
      <c r="C206" s="2" t="s">
        <v>484</v>
      </c>
      <c r="D206" s="24">
        <v>53</v>
      </c>
      <c r="E206" s="3">
        <v>26629</v>
      </c>
      <c r="F206" t="s">
        <v>126</v>
      </c>
      <c r="G206" t="s">
        <v>98</v>
      </c>
      <c r="H206" s="4">
        <v>16500</v>
      </c>
      <c r="I206" s="4">
        <v>4000</v>
      </c>
      <c r="J206" s="5" t="s">
        <v>45</v>
      </c>
      <c r="K206" s="6">
        <v>14</v>
      </c>
      <c r="L206" t="str" cm="1">
        <f t="array" ref="L206">_xlfn.IFS(K206&gt;=26,"Alto",K206&lt;11,"Baixo",K206&lt;26,"Médio")</f>
        <v>Médio</v>
      </c>
      <c r="M206" t="str">
        <f>IF(AND(Tabela13[[#This Row],[flag_inadimplente]]="Sim",Tabela13[[#This Row],[nivel_risco]]="Alto"),"Negado","Aprovado")</f>
        <v>Aprovado</v>
      </c>
      <c r="N206" t="str">
        <f>IF(AND(Tabela13[[#This Row],[credito_tomado]]&gt;50000,Tabela13[[#This Row],[flag_inadimplente]]="Sim"),"Negado","Aprovado")</f>
        <v>Aprovado</v>
      </c>
      <c r="O206" s="4">
        <f>IF(AND(Tabela13[[#This Row],[analise_risco]]="Negado",Tabela13[[#This Row],[analise_credito]]="Negado"),0,IF(Tabela13[[#This Row],[status]]="Ativo",Tabela13[[#This Row],[valor_solicitado]]*8%,0))</f>
        <v>0</v>
      </c>
      <c r="P206" s="4">
        <v>36000</v>
      </c>
    </row>
    <row r="207" spans="1:16">
      <c r="A207" t="s">
        <v>85</v>
      </c>
      <c r="B207" t="s">
        <v>485</v>
      </c>
      <c r="C207" s="2" t="s">
        <v>486</v>
      </c>
      <c r="D207" s="24">
        <v>31</v>
      </c>
      <c r="E207" s="3">
        <v>34885</v>
      </c>
      <c r="F207" t="s">
        <v>122</v>
      </c>
      <c r="G207" t="s">
        <v>123</v>
      </c>
      <c r="H207" s="4">
        <v>16400</v>
      </c>
      <c r="I207" s="4">
        <v>45500</v>
      </c>
      <c r="J207" s="5" t="s">
        <v>45</v>
      </c>
      <c r="K207" s="6">
        <v>6</v>
      </c>
      <c r="L207" t="str" cm="1">
        <f t="array" ref="L207">_xlfn.IFS(K207&gt;=26,"Alto",K207&lt;11,"Baixo",K207&lt;26,"Médio")</f>
        <v>Baixo</v>
      </c>
      <c r="M207" t="str">
        <f>IF(AND(Tabela13[[#This Row],[flag_inadimplente]]="Sim",Tabela13[[#This Row],[nivel_risco]]="Alto"),"Negado","Aprovado")</f>
        <v>Aprovado</v>
      </c>
      <c r="N207" t="str">
        <f>IF(AND(Tabela13[[#This Row],[credito_tomado]]&gt;50000,Tabela13[[#This Row],[flag_inadimplente]]="Sim"),"Negado","Aprovado")</f>
        <v>Aprovado</v>
      </c>
      <c r="O207" s="4">
        <f>IF(AND(Tabela13[[#This Row],[analise_risco]]="Negado",Tabela13[[#This Row],[analise_credito]]="Negado"),0,IF(Tabela13[[#This Row],[status]]="Ativo",Tabela13[[#This Row],[valor_solicitado]]*8%,0))</f>
        <v>0</v>
      </c>
      <c r="P207" s="4">
        <v>49500</v>
      </c>
    </row>
    <row r="208" spans="1:16">
      <c r="A208" t="s">
        <v>71</v>
      </c>
      <c r="B208" t="s">
        <v>487</v>
      </c>
      <c r="C208" s="2" t="s">
        <v>488</v>
      </c>
      <c r="D208" s="24">
        <v>22</v>
      </c>
      <c r="E208" s="3">
        <v>38204</v>
      </c>
      <c r="F208" t="s">
        <v>107</v>
      </c>
      <c r="G208" t="s">
        <v>108</v>
      </c>
      <c r="H208" s="4">
        <v>10500</v>
      </c>
      <c r="I208" s="4">
        <v>50500</v>
      </c>
      <c r="J208" s="5" t="s">
        <v>45</v>
      </c>
      <c r="K208" s="6">
        <v>16</v>
      </c>
      <c r="L208" t="str" cm="1">
        <f t="array" ref="L208">_xlfn.IFS(K208&gt;=26,"Alto",K208&lt;11,"Baixo",K208&lt;26,"Médio")</f>
        <v>Médio</v>
      </c>
      <c r="M208" t="str">
        <f>IF(AND(Tabela13[[#This Row],[flag_inadimplente]]="Sim",Tabela13[[#This Row],[nivel_risco]]="Alto"),"Negado","Aprovado")</f>
        <v>Aprovado</v>
      </c>
      <c r="N208" t="str">
        <f>IF(AND(Tabela13[[#This Row],[credito_tomado]]&gt;50000,Tabela13[[#This Row],[flag_inadimplente]]="Sim"),"Negado","Aprovado")</f>
        <v>Aprovado</v>
      </c>
      <c r="O208" s="4">
        <f>IF(AND(Tabela13[[#This Row],[analise_risco]]="Negado",Tabela13[[#This Row],[analise_credito]]="Negado"),0,IF(Tabela13[[#This Row],[status]]="Ativo",Tabela13[[#This Row],[valor_solicitado]]*8%,0))</f>
        <v>3320</v>
      </c>
      <c r="P208" s="4">
        <v>41500</v>
      </c>
    </row>
    <row r="209" spans="1:16">
      <c r="A209" t="s">
        <v>71</v>
      </c>
      <c r="B209" t="s">
        <v>489</v>
      </c>
      <c r="C209" s="2" t="s">
        <v>490</v>
      </c>
      <c r="D209" s="24">
        <v>31</v>
      </c>
      <c r="E209" s="3">
        <v>34852</v>
      </c>
      <c r="F209" t="s">
        <v>147</v>
      </c>
      <c r="G209" t="s">
        <v>98</v>
      </c>
      <c r="H209" s="4">
        <v>20500</v>
      </c>
      <c r="I209" s="4">
        <v>47500</v>
      </c>
      <c r="J209" s="5" t="s">
        <v>45</v>
      </c>
      <c r="K209" s="6">
        <v>11</v>
      </c>
      <c r="L209" t="str" cm="1">
        <f t="array" ref="L209">_xlfn.IFS(K209&gt;=26,"Alto",K209&lt;11,"Baixo",K209&lt;26,"Médio")</f>
        <v>Médio</v>
      </c>
      <c r="M209" t="str">
        <f>IF(AND(Tabela13[[#This Row],[flag_inadimplente]]="Sim",Tabela13[[#This Row],[nivel_risco]]="Alto"),"Negado","Aprovado")</f>
        <v>Aprovado</v>
      </c>
      <c r="N209" t="str">
        <f>IF(AND(Tabela13[[#This Row],[credito_tomado]]&gt;50000,Tabela13[[#This Row],[flag_inadimplente]]="Sim"),"Negado","Aprovado")</f>
        <v>Aprovado</v>
      </c>
      <c r="O209" s="4">
        <f>IF(AND(Tabela13[[#This Row],[analise_risco]]="Negado",Tabela13[[#This Row],[analise_credito]]="Negado"),0,IF(Tabela13[[#This Row],[status]]="Ativo",Tabela13[[#This Row],[valor_solicitado]]*8%,0))</f>
        <v>1480</v>
      </c>
      <c r="P209" s="4">
        <v>18500</v>
      </c>
    </row>
    <row r="210" spans="1:16">
      <c r="A210" t="s">
        <v>71</v>
      </c>
      <c r="B210" t="s">
        <v>491</v>
      </c>
      <c r="C210" s="2" t="s">
        <v>492</v>
      </c>
      <c r="D210" s="24">
        <v>58</v>
      </c>
      <c r="E210" s="3">
        <v>24905</v>
      </c>
      <c r="F210" t="s">
        <v>74</v>
      </c>
      <c r="G210" t="s">
        <v>75</v>
      </c>
      <c r="H210" s="4">
        <v>12400</v>
      </c>
      <c r="I210" s="4">
        <v>21500</v>
      </c>
      <c r="J210" s="5" t="s">
        <v>46</v>
      </c>
      <c r="K210" s="6">
        <v>24</v>
      </c>
      <c r="L210" t="str" cm="1">
        <f t="array" ref="L210">_xlfn.IFS(K210&gt;=26,"Alto",K210&lt;11,"Baixo",K210&lt;26,"Médio")</f>
        <v>Médio</v>
      </c>
      <c r="M210" t="str">
        <f>IF(AND(Tabela13[[#This Row],[flag_inadimplente]]="Sim",Tabela13[[#This Row],[nivel_risco]]="Alto"),"Negado","Aprovado")</f>
        <v>Aprovado</v>
      </c>
      <c r="N210" t="str">
        <f>IF(AND(Tabela13[[#This Row],[credito_tomado]]&gt;50000,Tabela13[[#This Row],[flag_inadimplente]]="Sim"),"Negado","Aprovado")</f>
        <v>Aprovado</v>
      </c>
      <c r="O210" s="4">
        <f>IF(AND(Tabela13[[#This Row],[analise_risco]]="Negado",Tabela13[[#This Row],[analise_credito]]="Negado"),0,IF(Tabela13[[#This Row],[status]]="Ativo",Tabela13[[#This Row],[valor_solicitado]]*8%,0))</f>
        <v>6400</v>
      </c>
      <c r="P210" s="4">
        <v>80000</v>
      </c>
    </row>
    <row r="211" spans="1:16">
      <c r="A211" t="s">
        <v>71</v>
      </c>
      <c r="B211" t="s">
        <v>493</v>
      </c>
      <c r="C211" s="2" t="s">
        <v>494</v>
      </c>
      <c r="D211" s="24">
        <v>56</v>
      </c>
      <c r="E211" s="3">
        <v>25671</v>
      </c>
      <c r="F211" t="s">
        <v>198</v>
      </c>
      <c r="G211" t="s">
        <v>84</v>
      </c>
      <c r="H211" s="4">
        <v>28300</v>
      </c>
      <c r="I211" s="4">
        <v>56000</v>
      </c>
      <c r="J211" s="5" t="s">
        <v>45</v>
      </c>
      <c r="K211" s="6">
        <v>6</v>
      </c>
      <c r="L211" t="str" cm="1">
        <f t="array" ref="L211">_xlfn.IFS(K211&gt;=26,"Alto",K211&lt;11,"Baixo",K211&lt;26,"Médio")</f>
        <v>Baixo</v>
      </c>
      <c r="M211" t="str">
        <f>IF(AND(Tabela13[[#This Row],[flag_inadimplente]]="Sim",Tabela13[[#This Row],[nivel_risco]]="Alto"),"Negado","Aprovado")</f>
        <v>Aprovado</v>
      </c>
      <c r="N211" t="str">
        <f>IF(AND(Tabela13[[#This Row],[credito_tomado]]&gt;50000,Tabela13[[#This Row],[flag_inadimplente]]="Sim"),"Negado","Aprovado")</f>
        <v>Aprovado</v>
      </c>
      <c r="O211" s="4">
        <f>IF(AND(Tabela13[[#This Row],[analise_risco]]="Negado",Tabela13[[#This Row],[analise_credito]]="Negado"),0,IF(Tabela13[[#This Row],[status]]="Ativo",Tabela13[[#This Row],[valor_solicitado]]*8%,0))</f>
        <v>6160</v>
      </c>
      <c r="P211" s="4">
        <v>77000</v>
      </c>
    </row>
    <row r="212" spans="1:16">
      <c r="A212" t="s">
        <v>71</v>
      </c>
      <c r="B212" t="s">
        <v>493</v>
      </c>
      <c r="C212" s="2" t="s">
        <v>494</v>
      </c>
      <c r="D212" s="24">
        <v>56</v>
      </c>
      <c r="E212" s="3">
        <v>25671</v>
      </c>
      <c r="F212" t="s">
        <v>198</v>
      </c>
      <c r="G212" t="s">
        <v>84</v>
      </c>
      <c r="H212" s="4">
        <v>28300</v>
      </c>
      <c r="I212" s="4">
        <v>56000</v>
      </c>
      <c r="J212" s="5" t="s">
        <v>45</v>
      </c>
      <c r="K212" s="6">
        <v>6</v>
      </c>
      <c r="L212" t="str" cm="1">
        <f t="array" ref="L212">_xlfn.IFS(K212&gt;=26,"Alto",K212&lt;11,"Baixo",K212&lt;26,"Médio")</f>
        <v>Baixo</v>
      </c>
      <c r="M212" t="str">
        <f>IF(AND(Tabela13[[#This Row],[flag_inadimplente]]="Sim",Tabela13[[#This Row],[nivel_risco]]="Alto"),"Negado","Aprovado")</f>
        <v>Aprovado</v>
      </c>
      <c r="N212" t="str">
        <f>IF(AND(Tabela13[[#This Row],[credito_tomado]]&gt;50000,Tabela13[[#This Row],[flag_inadimplente]]="Sim"),"Negado","Aprovado")</f>
        <v>Aprovado</v>
      </c>
      <c r="O212" s="4">
        <f>IF(AND(Tabela13[[#This Row],[analise_risco]]="Negado",Tabela13[[#This Row],[analise_credito]]="Negado"),0,IF(Tabela13[[#This Row],[status]]="Ativo",Tabela13[[#This Row],[valor_solicitado]]*8%,0))</f>
        <v>6760</v>
      </c>
      <c r="P212" s="4">
        <v>84500</v>
      </c>
    </row>
    <row r="213" spans="1:16">
      <c r="A213" t="s">
        <v>71</v>
      </c>
      <c r="B213" t="s">
        <v>495</v>
      </c>
      <c r="C213" s="2" t="s">
        <v>496</v>
      </c>
      <c r="D213" s="24">
        <v>62</v>
      </c>
      <c r="E213" s="3">
        <v>23278</v>
      </c>
      <c r="F213" t="s">
        <v>97</v>
      </c>
      <c r="G213" t="s">
        <v>98</v>
      </c>
      <c r="H213" s="4">
        <v>17000</v>
      </c>
      <c r="I213" s="4">
        <v>64000</v>
      </c>
      <c r="J213" s="5" t="s">
        <v>46</v>
      </c>
      <c r="K213" s="6">
        <v>21</v>
      </c>
      <c r="L213" t="str" cm="1">
        <f t="array" ref="L213">_xlfn.IFS(K213&gt;=26,"Alto",K213&lt;11,"Baixo",K213&lt;26,"Médio")</f>
        <v>Médio</v>
      </c>
      <c r="M213" t="str">
        <f>IF(AND(Tabela13[[#This Row],[flag_inadimplente]]="Sim",Tabela13[[#This Row],[nivel_risco]]="Alto"),"Negado","Aprovado")</f>
        <v>Aprovado</v>
      </c>
      <c r="N213" t="str">
        <f>IF(AND(Tabela13[[#This Row],[credito_tomado]]&gt;50000,Tabela13[[#This Row],[flag_inadimplente]]="Sim"),"Negado","Aprovado")</f>
        <v>Negado</v>
      </c>
      <c r="O213" s="4">
        <f>IF(AND(Tabela13[[#This Row],[analise_risco]]="Negado",Tabela13[[#This Row],[analise_credito]]="Negado"),0,IF(Tabela13[[#This Row],[status]]="Ativo",Tabela13[[#This Row],[valor_solicitado]]*8%,0))</f>
        <v>1520</v>
      </c>
      <c r="P213" s="4">
        <v>19000</v>
      </c>
    </row>
    <row r="214" spans="1:16">
      <c r="A214" t="s">
        <v>85</v>
      </c>
      <c r="B214" t="s">
        <v>495</v>
      </c>
      <c r="C214" s="2" t="s">
        <v>497</v>
      </c>
      <c r="D214" s="24">
        <v>38</v>
      </c>
      <c r="E214" s="3">
        <v>32118</v>
      </c>
      <c r="F214" t="s">
        <v>216</v>
      </c>
      <c r="G214" t="s">
        <v>94</v>
      </c>
      <c r="H214" s="4">
        <v>15800</v>
      </c>
      <c r="I214" s="4">
        <v>14500</v>
      </c>
      <c r="J214" s="5" t="s">
        <v>45</v>
      </c>
      <c r="K214" s="6">
        <v>4</v>
      </c>
      <c r="L214" t="str" cm="1">
        <f t="array" ref="L214">_xlfn.IFS(K214&gt;=26,"Alto",K214&lt;11,"Baixo",K214&lt;26,"Médio")</f>
        <v>Baixo</v>
      </c>
      <c r="M214" t="str">
        <f>IF(AND(Tabela13[[#This Row],[flag_inadimplente]]="Sim",Tabela13[[#This Row],[nivel_risco]]="Alto"),"Negado","Aprovado")</f>
        <v>Aprovado</v>
      </c>
      <c r="N214" t="str">
        <f>IF(AND(Tabela13[[#This Row],[credito_tomado]]&gt;50000,Tabela13[[#This Row],[flag_inadimplente]]="Sim"),"Negado","Aprovado")</f>
        <v>Aprovado</v>
      </c>
      <c r="O214" s="4">
        <f>IF(AND(Tabela13[[#This Row],[analise_risco]]="Negado",Tabela13[[#This Row],[analise_credito]]="Negado"),0,IF(Tabela13[[#This Row],[status]]="Ativo",Tabela13[[#This Row],[valor_solicitado]]*8%,0))</f>
        <v>0</v>
      </c>
      <c r="P214" s="4">
        <v>21000</v>
      </c>
    </row>
    <row r="215" spans="1:16">
      <c r="A215" t="s">
        <v>71</v>
      </c>
      <c r="B215" t="s">
        <v>498</v>
      </c>
      <c r="C215" s="2" t="s">
        <v>499</v>
      </c>
      <c r="D215" s="24">
        <v>42</v>
      </c>
      <c r="E215" s="3">
        <v>30666</v>
      </c>
      <c r="F215" t="s">
        <v>122</v>
      </c>
      <c r="G215" t="s">
        <v>123</v>
      </c>
      <c r="H215" s="4">
        <v>6000</v>
      </c>
      <c r="I215" s="4">
        <v>55000</v>
      </c>
      <c r="J215" s="5" t="s">
        <v>45</v>
      </c>
      <c r="K215" s="6">
        <v>5</v>
      </c>
      <c r="L215" t="str" cm="1">
        <f t="array" ref="L215">_xlfn.IFS(K215&gt;=26,"Alto",K215&lt;11,"Baixo",K215&lt;26,"Médio")</f>
        <v>Baixo</v>
      </c>
      <c r="M215" t="str">
        <f>IF(AND(Tabela13[[#This Row],[flag_inadimplente]]="Sim",Tabela13[[#This Row],[nivel_risco]]="Alto"),"Negado","Aprovado")</f>
        <v>Aprovado</v>
      </c>
      <c r="N215" t="str">
        <f>IF(AND(Tabela13[[#This Row],[credito_tomado]]&gt;50000,Tabela13[[#This Row],[flag_inadimplente]]="Sim"),"Negado","Aprovado")</f>
        <v>Aprovado</v>
      </c>
      <c r="O215" s="4">
        <f>IF(AND(Tabela13[[#This Row],[analise_risco]]="Negado",Tabela13[[#This Row],[analise_credito]]="Negado"),0,IF(Tabela13[[#This Row],[status]]="Ativo",Tabela13[[#This Row],[valor_solicitado]]*8%,0))</f>
        <v>800</v>
      </c>
      <c r="P215" s="4">
        <v>10000</v>
      </c>
    </row>
    <row r="216" spans="1:16">
      <c r="A216" t="s">
        <v>71</v>
      </c>
      <c r="B216" t="s">
        <v>500</v>
      </c>
      <c r="C216" s="2" t="s">
        <v>501</v>
      </c>
      <c r="D216" s="24">
        <v>47</v>
      </c>
      <c r="E216" s="3">
        <v>29007</v>
      </c>
      <c r="F216" t="s">
        <v>74</v>
      </c>
      <c r="G216" t="s">
        <v>75</v>
      </c>
      <c r="H216" s="4">
        <v>5000</v>
      </c>
      <c r="I216" s="4">
        <v>75500</v>
      </c>
      <c r="J216" s="5" t="s">
        <v>46</v>
      </c>
      <c r="K216" s="6">
        <v>2</v>
      </c>
      <c r="L216" t="str" cm="1">
        <f t="array" ref="L216">_xlfn.IFS(K216&gt;=26,"Alto",K216&lt;11,"Baixo",K216&lt;26,"Médio")</f>
        <v>Baixo</v>
      </c>
      <c r="M216" t="str">
        <f>IF(AND(Tabela13[[#This Row],[flag_inadimplente]]="Sim",Tabela13[[#This Row],[nivel_risco]]="Alto"),"Negado","Aprovado")</f>
        <v>Aprovado</v>
      </c>
      <c r="N216" t="str">
        <f>IF(AND(Tabela13[[#This Row],[credito_tomado]]&gt;50000,Tabela13[[#This Row],[flag_inadimplente]]="Sim"),"Negado","Aprovado")</f>
        <v>Negado</v>
      </c>
      <c r="O216" s="4">
        <f>IF(AND(Tabela13[[#This Row],[analise_risco]]="Negado",Tabela13[[#This Row],[analise_credito]]="Negado"),0,IF(Tabela13[[#This Row],[status]]="Ativo",Tabela13[[#This Row],[valor_solicitado]]*8%,0))</f>
        <v>7160</v>
      </c>
      <c r="P216" s="4">
        <v>89500</v>
      </c>
    </row>
    <row r="217" spans="1:16">
      <c r="A217" t="s">
        <v>85</v>
      </c>
      <c r="B217" t="s">
        <v>502</v>
      </c>
      <c r="C217" s="2" t="s">
        <v>503</v>
      </c>
      <c r="D217" s="24">
        <v>55</v>
      </c>
      <c r="E217" s="3">
        <v>25892</v>
      </c>
      <c r="F217" t="s">
        <v>216</v>
      </c>
      <c r="G217" t="s">
        <v>94</v>
      </c>
      <c r="H217" s="4">
        <v>5300</v>
      </c>
      <c r="I217" s="4">
        <v>6500</v>
      </c>
      <c r="J217" s="5" t="s">
        <v>45</v>
      </c>
      <c r="K217" s="6">
        <v>42</v>
      </c>
      <c r="L217" t="str" cm="1">
        <f t="array" ref="L217">_xlfn.IFS(K217&gt;=26,"Alto",K217&lt;11,"Baixo",K217&lt;26,"Médio")</f>
        <v>Alto</v>
      </c>
      <c r="M217" t="str">
        <f>IF(AND(Tabela13[[#This Row],[flag_inadimplente]]="Sim",Tabela13[[#This Row],[nivel_risco]]="Alto"),"Negado","Aprovado")</f>
        <v>Aprovado</v>
      </c>
      <c r="N217" t="str">
        <f>IF(AND(Tabela13[[#This Row],[credito_tomado]]&gt;50000,Tabela13[[#This Row],[flag_inadimplente]]="Sim"),"Negado","Aprovado")</f>
        <v>Aprovado</v>
      </c>
      <c r="O217" s="4">
        <f>IF(AND(Tabela13[[#This Row],[analise_risco]]="Negado",Tabela13[[#This Row],[analise_credito]]="Negado"),0,IF(Tabela13[[#This Row],[status]]="Ativo",Tabela13[[#This Row],[valor_solicitado]]*8%,0))</f>
        <v>0</v>
      </c>
      <c r="P217" s="4">
        <v>96000</v>
      </c>
    </row>
    <row r="218" spans="1:16">
      <c r="A218" t="s">
        <v>71</v>
      </c>
      <c r="B218" t="s">
        <v>504</v>
      </c>
      <c r="C218" s="2" t="s">
        <v>505</v>
      </c>
      <c r="D218" s="24">
        <v>49</v>
      </c>
      <c r="E218" s="3">
        <v>28330</v>
      </c>
      <c r="F218" t="s">
        <v>115</v>
      </c>
      <c r="G218" t="s">
        <v>75</v>
      </c>
      <c r="H218" s="4">
        <v>11500</v>
      </c>
      <c r="I218" s="4">
        <v>44500</v>
      </c>
      <c r="J218" s="5" t="s">
        <v>45</v>
      </c>
      <c r="K218" s="6">
        <v>45</v>
      </c>
      <c r="L218" t="str" cm="1">
        <f t="array" ref="L218">_xlfn.IFS(K218&gt;=26,"Alto",K218&lt;11,"Baixo",K218&lt;26,"Médio")</f>
        <v>Alto</v>
      </c>
      <c r="M218" t="str">
        <f>IF(AND(Tabela13[[#This Row],[flag_inadimplente]]="Sim",Tabela13[[#This Row],[nivel_risco]]="Alto"),"Negado","Aprovado")</f>
        <v>Aprovado</v>
      </c>
      <c r="N218" t="str">
        <f>IF(AND(Tabela13[[#This Row],[credito_tomado]]&gt;50000,Tabela13[[#This Row],[flag_inadimplente]]="Sim"),"Negado","Aprovado")</f>
        <v>Aprovado</v>
      </c>
      <c r="O218" s="4">
        <f>IF(AND(Tabela13[[#This Row],[analise_risco]]="Negado",Tabela13[[#This Row],[analise_credito]]="Negado"),0,IF(Tabela13[[#This Row],[status]]="Ativo",Tabela13[[#This Row],[valor_solicitado]]*8%,0))</f>
        <v>240</v>
      </c>
      <c r="P218" s="4">
        <v>3000</v>
      </c>
    </row>
    <row r="219" spans="1:16">
      <c r="A219" t="s">
        <v>71</v>
      </c>
      <c r="B219" t="s">
        <v>506</v>
      </c>
      <c r="C219" s="2" t="s">
        <v>507</v>
      </c>
      <c r="D219" s="24">
        <v>48</v>
      </c>
      <c r="E219" s="3">
        <v>28647</v>
      </c>
      <c r="F219" t="s">
        <v>139</v>
      </c>
      <c r="G219" s="7" t="s">
        <v>80</v>
      </c>
      <c r="H219" s="4">
        <v>13200</v>
      </c>
      <c r="I219" s="4">
        <v>3500</v>
      </c>
      <c r="J219" s="5" t="s">
        <v>45</v>
      </c>
      <c r="K219" s="6">
        <v>1</v>
      </c>
      <c r="L219" t="str" cm="1">
        <f t="array" ref="L219">_xlfn.IFS(K219&gt;=26,"Alto",K219&lt;11,"Baixo",K219&lt;26,"Médio")</f>
        <v>Baixo</v>
      </c>
      <c r="M219" t="str">
        <f>IF(AND(Tabela13[[#This Row],[flag_inadimplente]]="Sim",Tabela13[[#This Row],[nivel_risco]]="Alto"),"Negado","Aprovado")</f>
        <v>Aprovado</v>
      </c>
      <c r="N219" t="str">
        <f>IF(AND(Tabela13[[#This Row],[credito_tomado]]&gt;50000,Tabela13[[#This Row],[flag_inadimplente]]="Sim"),"Negado","Aprovado")</f>
        <v>Aprovado</v>
      </c>
      <c r="O219" s="4">
        <f>IF(AND(Tabela13[[#This Row],[analise_risco]]="Negado",Tabela13[[#This Row],[analise_credito]]="Negado"),0,IF(Tabela13[[#This Row],[status]]="Ativo",Tabela13[[#This Row],[valor_solicitado]]*8%,0))</f>
        <v>2600</v>
      </c>
      <c r="P219" s="4">
        <v>32500</v>
      </c>
    </row>
    <row r="220" spans="1:16">
      <c r="A220" t="s">
        <v>71</v>
      </c>
      <c r="B220" t="s">
        <v>508</v>
      </c>
      <c r="C220" s="2" t="s">
        <v>509</v>
      </c>
      <c r="D220" s="24">
        <v>45</v>
      </c>
      <c r="E220" s="3">
        <v>29598</v>
      </c>
      <c r="F220" t="s">
        <v>139</v>
      </c>
      <c r="G220" t="s">
        <v>140</v>
      </c>
      <c r="H220" s="4">
        <v>22800</v>
      </c>
      <c r="I220" s="8" t="s">
        <v>80</v>
      </c>
      <c r="J220" s="5" t="s">
        <v>45</v>
      </c>
      <c r="K220" s="6">
        <v>10</v>
      </c>
      <c r="L220" t="str" cm="1">
        <f t="array" ref="L220">_xlfn.IFS(K220&gt;=26,"Alto",K220&lt;11,"Baixo",K220&lt;26,"Médio")</f>
        <v>Baixo</v>
      </c>
      <c r="M220" t="str">
        <f>IF(AND(Tabela13[[#This Row],[flag_inadimplente]]="Sim",Tabela13[[#This Row],[nivel_risco]]="Alto"),"Negado","Aprovado")</f>
        <v>Aprovado</v>
      </c>
      <c r="N220" t="str">
        <f>IF(AND(Tabela13[[#This Row],[credito_tomado]]&gt;50000,Tabela13[[#This Row],[flag_inadimplente]]="Sim"),"Negado","Aprovado")</f>
        <v>Aprovado</v>
      </c>
      <c r="O220" s="4">
        <f>IF(AND(Tabela13[[#This Row],[analise_risco]]="Negado",Tabela13[[#This Row],[analise_credito]]="Negado"),0,IF(Tabela13[[#This Row],[status]]="Ativo",Tabela13[[#This Row],[valor_solicitado]]*8%,0))</f>
        <v>2480</v>
      </c>
      <c r="P220" s="4">
        <v>31000</v>
      </c>
    </row>
    <row r="221" spans="1:16">
      <c r="A221" t="s">
        <v>71</v>
      </c>
      <c r="B221" t="s">
        <v>510</v>
      </c>
      <c r="C221" s="2" t="s">
        <v>511</v>
      </c>
      <c r="D221" s="24">
        <v>46</v>
      </c>
      <c r="E221" s="3" t="s">
        <v>80</v>
      </c>
      <c r="F221" t="s">
        <v>97</v>
      </c>
      <c r="G221" t="s">
        <v>98</v>
      </c>
      <c r="H221" s="4">
        <v>21300</v>
      </c>
      <c r="I221" s="4">
        <v>60500</v>
      </c>
      <c r="J221" s="5" t="s">
        <v>211</v>
      </c>
      <c r="K221" s="6">
        <v>15</v>
      </c>
      <c r="L221" t="str" cm="1">
        <f t="array" ref="L221">_xlfn.IFS(K221&gt;=26,"Alto",K221&lt;11,"Baixo",K221&lt;26,"Médio")</f>
        <v>Médio</v>
      </c>
      <c r="M221" t="str">
        <f>IF(AND(Tabela13[[#This Row],[flag_inadimplente]]="Sim",Tabela13[[#This Row],[nivel_risco]]="Alto"),"Negado","Aprovado")</f>
        <v>Aprovado</v>
      </c>
      <c r="N221" t="str">
        <f>IF(AND(Tabela13[[#This Row],[credito_tomado]]&gt;50000,Tabela13[[#This Row],[flag_inadimplente]]="Sim"),"Negado","Aprovado")</f>
        <v>Aprovado</v>
      </c>
      <c r="O221" s="4">
        <f>IF(AND(Tabela13[[#This Row],[analise_risco]]="Negado",Tabela13[[#This Row],[analise_credito]]="Negado"),0,IF(Tabela13[[#This Row],[status]]="Ativo",Tabela13[[#This Row],[valor_solicitado]]*8%,0))</f>
        <v>5960</v>
      </c>
      <c r="P221" s="4">
        <v>74500</v>
      </c>
    </row>
    <row r="222" spans="1:16">
      <c r="A222" t="s">
        <v>71</v>
      </c>
      <c r="B222" t="s">
        <v>512</v>
      </c>
      <c r="C222" s="2" t="s">
        <v>513</v>
      </c>
      <c r="D222" s="24">
        <v>40</v>
      </c>
      <c r="E222" s="3">
        <v>31408</v>
      </c>
      <c r="F222" t="s">
        <v>115</v>
      </c>
      <c r="G222" t="s">
        <v>75</v>
      </c>
      <c r="H222" s="4">
        <v>17400</v>
      </c>
      <c r="I222" s="4">
        <v>53000</v>
      </c>
      <c r="J222" s="5" t="s">
        <v>46</v>
      </c>
      <c r="K222" s="6">
        <v>20</v>
      </c>
      <c r="L222" t="str" cm="1">
        <f t="array" ref="L222">_xlfn.IFS(K222&gt;=26,"Alto",K222&lt;11,"Baixo",K222&lt;26,"Médio")</f>
        <v>Médio</v>
      </c>
      <c r="M222" t="str">
        <f>IF(AND(Tabela13[[#This Row],[flag_inadimplente]]="Sim",Tabela13[[#This Row],[nivel_risco]]="Alto"),"Negado","Aprovado")</f>
        <v>Aprovado</v>
      </c>
      <c r="N222" t="str">
        <f>IF(AND(Tabela13[[#This Row],[credito_tomado]]&gt;50000,Tabela13[[#This Row],[flag_inadimplente]]="Sim"),"Negado","Aprovado")</f>
        <v>Negado</v>
      </c>
      <c r="O222" s="4">
        <f>IF(AND(Tabela13[[#This Row],[analise_risco]]="Negado",Tabela13[[#This Row],[analise_credito]]="Negado"),0,IF(Tabela13[[#This Row],[status]]="Ativo",Tabela13[[#This Row],[valor_solicitado]]*8%,0))</f>
        <v>4200</v>
      </c>
      <c r="P222" s="4">
        <v>52500</v>
      </c>
    </row>
    <row r="223" spans="1:16">
      <c r="A223" t="s">
        <v>71</v>
      </c>
      <c r="B223" t="s">
        <v>514</v>
      </c>
      <c r="C223" s="2" t="s">
        <v>515</v>
      </c>
      <c r="D223" s="24">
        <v>42</v>
      </c>
      <c r="E223" s="3">
        <v>30898</v>
      </c>
      <c r="F223" t="s">
        <v>139</v>
      </c>
      <c r="G223" s="7" t="s">
        <v>80</v>
      </c>
      <c r="H223" s="4">
        <v>20800</v>
      </c>
      <c r="I223" s="4">
        <v>54000</v>
      </c>
      <c r="J223" s="5" t="s">
        <v>45</v>
      </c>
      <c r="K223" s="6">
        <v>4</v>
      </c>
      <c r="L223" t="str" cm="1">
        <f t="array" ref="L223">_xlfn.IFS(K223&gt;=26,"Alto",K223&lt;11,"Baixo",K223&lt;26,"Médio")</f>
        <v>Baixo</v>
      </c>
      <c r="M223" t="str">
        <f>IF(AND(Tabela13[[#This Row],[flag_inadimplente]]="Sim",Tabela13[[#This Row],[nivel_risco]]="Alto"),"Negado","Aprovado")</f>
        <v>Aprovado</v>
      </c>
      <c r="N223" t="str">
        <f>IF(AND(Tabela13[[#This Row],[credito_tomado]]&gt;50000,Tabela13[[#This Row],[flag_inadimplente]]="Sim"),"Negado","Aprovado")</f>
        <v>Aprovado</v>
      </c>
      <c r="O223" s="4">
        <f>IF(AND(Tabela13[[#This Row],[analise_risco]]="Negado",Tabela13[[#This Row],[analise_credito]]="Negado"),0,IF(Tabela13[[#This Row],[status]]="Ativo",Tabela13[[#This Row],[valor_solicitado]]*8%,0))</f>
        <v>5880</v>
      </c>
      <c r="P223" s="4">
        <v>73500</v>
      </c>
    </row>
    <row r="224" spans="1:16">
      <c r="A224" t="s">
        <v>85</v>
      </c>
      <c r="B224" t="s">
        <v>516</v>
      </c>
      <c r="C224" s="2" t="s">
        <v>517</v>
      </c>
      <c r="D224" s="24" t="s">
        <v>80</v>
      </c>
      <c r="E224" s="3">
        <v>19234</v>
      </c>
      <c r="F224" t="s">
        <v>78</v>
      </c>
      <c r="G224" t="s">
        <v>79</v>
      </c>
      <c r="H224" s="4">
        <v>8900</v>
      </c>
      <c r="I224" s="4">
        <v>4000</v>
      </c>
      <c r="J224" s="5" t="s">
        <v>45</v>
      </c>
      <c r="K224" s="6">
        <v>38</v>
      </c>
      <c r="L224" t="str" cm="1">
        <f t="array" ref="L224">_xlfn.IFS(K224&gt;=26,"Alto",K224&lt;11,"Baixo",K224&lt;26,"Médio")</f>
        <v>Alto</v>
      </c>
      <c r="M224" t="str">
        <f>IF(AND(Tabela13[[#This Row],[flag_inadimplente]]="Sim",Tabela13[[#This Row],[nivel_risco]]="Alto"),"Negado","Aprovado")</f>
        <v>Aprovado</v>
      </c>
      <c r="N224" t="str">
        <f>IF(AND(Tabela13[[#This Row],[credito_tomado]]&gt;50000,Tabela13[[#This Row],[flag_inadimplente]]="Sim"),"Negado","Aprovado")</f>
        <v>Aprovado</v>
      </c>
      <c r="O224" s="4">
        <f>IF(AND(Tabela13[[#This Row],[analise_risco]]="Negado",Tabela13[[#This Row],[analise_credito]]="Negado"),0,IF(Tabela13[[#This Row],[status]]="Ativo",Tabela13[[#This Row],[valor_solicitado]]*8%,0))</f>
        <v>0</v>
      </c>
      <c r="P224" s="4">
        <v>22500</v>
      </c>
    </row>
    <row r="225" spans="1:16">
      <c r="A225" t="s">
        <v>85</v>
      </c>
      <c r="B225" t="s">
        <v>518</v>
      </c>
      <c r="C225" s="2" t="s">
        <v>519</v>
      </c>
      <c r="D225" s="24" t="s">
        <v>80</v>
      </c>
      <c r="E225" s="3">
        <v>32890</v>
      </c>
      <c r="F225" t="s">
        <v>83</v>
      </c>
      <c r="G225" t="s">
        <v>84</v>
      </c>
      <c r="H225" s="4">
        <v>28100</v>
      </c>
      <c r="I225" s="4">
        <v>36500</v>
      </c>
      <c r="J225" s="5" t="s">
        <v>45</v>
      </c>
      <c r="K225" s="6">
        <v>13</v>
      </c>
      <c r="L225" t="str" cm="1">
        <f t="array" ref="L225">_xlfn.IFS(K225&gt;=26,"Alto",K225&lt;11,"Baixo",K225&lt;26,"Médio")</f>
        <v>Médio</v>
      </c>
      <c r="M225" t="str">
        <f>IF(AND(Tabela13[[#This Row],[flag_inadimplente]]="Sim",Tabela13[[#This Row],[nivel_risco]]="Alto"),"Negado","Aprovado")</f>
        <v>Aprovado</v>
      </c>
      <c r="N225" t="str">
        <f>IF(AND(Tabela13[[#This Row],[credito_tomado]]&gt;50000,Tabela13[[#This Row],[flag_inadimplente]]="Sim"),"Negado","Aprovado")</f>
        <v>Aprovado</v>
      </c>
      <c r="O225" s="4">
        <f>IF(AND(Tabela13[[#This Row],[analise_risco]]="Negado",Tabela13[[#This Row],[analise_credito]]="Negado"),0,IF(Tabela13[[#This Row],[status]]="Ativo",Tabela13[[#This Row],[valor_solicitado]]*8%,0))</f>
        <v>0</v>
      </c>
      <c r="P225" s="4">
        <v>5000</v>
      </c>
    </row>
    <row r="226" spans="1:16">
      <c r="A226" t="s">
        <v>71</v>
      </c>
      <c r="B226" t="s">
        <v>520</v>
      </c>
      <c r="C226" s="2" t="s">
        <v>521</v>
      </c>
      <c r="D226" s="24">
        <v>67</v>
      </c>
      <c r="E226" s="3">
        <v>21619</v>
      </c>
      <c r="F226" t="s">
        <v>216</v>
      </c>
      <c r="G226" t="s">
        <v>94</v>
      </c>
      <c r="H226" s="4">
        <v>20200</v>
      </c>
      <c r="I226" s="4">
        <v>6500</v>
      </c>
      <c r="J226" s="5" t="s">
        <v>45</v>
      </c>
      <c r="K226" s="6">
        <v>1</v>
      </c>
      <c r="L226" t="str" cm="1">
        <f t="array" ref="L226">_xlfn.IFS(K226&gt;=26,"Alto",K226&lt;11,"Baixo",K226&lt;26,"Médio")</f>
        <v>Baixo</v>
      </c>
      <c r="M226" t="str">
        <f>IF(AND(Tabela13[[#This Row],[flag_inadimplente]]="Sim",Tabela13[[#This Row],[nivel_risco]]="Alto"),"Negado","Aprovado")</f>
        <v>Aprovado</v>
      </c>
      <c r="N226" t="str">
        <f>IF(AND(Tabela13[[#This Row],[credito_tomado]]&gt;50000,Tabela13[[#This Row],[flag_inadimplente]]="Sim"),"Negado","Aprovado")</f>
        <v>Aprovado</v>
      </c>
      <c r="O226" s="4">
        <f>IF(AND(Tabela13[[#This Row],[analise_risco]]="Negado",Tabela13[[#This Row],[analise_credito]]="Negado"),0,IF(Tabela13[[#This Row],[status]]="Ativo",Tabela13[[#This Row],[valor_solicitado]]*8%,0))</f>
        <v>7880</v>
      </c>
      <c r="P226" s="4">
        <v>98500</v>
      </c>
    </row>
    <row r="227" spans="1:16">
      <c r="A227" t="s">
        <v>71</v>
      </c>
      <c r="B227" t="s">
        <v>522</v>
      </c>
      <c r="C227" s="2" t="s">
        <v>523</v>
      </c>
      <c r="D227" s="24">
        <v>36</v>
      </c>
      <c r="E227" s="3">
        <v>33117</v>
      </c>
      <c r="F227" t="s">
        <v>188</v>
      </c>
      <c r="G227" t="s">
        <v>195</v>
      </c>
      <c r="H227" s="4">
        <v>11600</v>
      </c>
      <c r="I227" s="4">
        <v>78500</v>
      </c>
      <c r="J227" s="5" t="s">
        <v>45</v>
      </c>
      <c r="K227" s="6">
        <v>1</v>
      </c>
      <c r="L227" t="str" cm="1">
        <f t="array" ref="L227">_xlfn.IFS(K227&gt;=26,"Alto",K227&lt;11,"Baixo",K227&lt;26,"Médio")</f>
        <v>Baixo</v>
      </c>
      <c r="M227" t="str">
        <f>IF(AND(Tabela13[[#This Row],[flag_inadimplente]]="Sim",Tabela13[[#This Row],[nivel_risco]]="Alto"),"Negado","Aprovado")</f>
        <v>Aprovado</v>
      </c>
      <c r="N227" t="str">
        <f>IF(AND(Tabela13[[#This Row],[credito_tomado]]&gt;50000,Tabela13[[#This Row],[flag_inadimplente]]="Sim"),"Negado","Aprovado")</f>
        <v>Aprovado</v>
      </c>
      <c r="O227" s="4">
        <f>IF(AND(Tabela13[[#This Row],[analise_risco]]="Negado",Tabela13[[#This Row],[analise_credito]]="Negado"),0,IF(Tabela13[[#This Row],[status]]="Ativo",Tabela13[[#This Row],[valor_solicitado]]*8%,0))</f>
        <v>3360</v>
      </c>
      <c r="P227" s="4">
        <v>42000</v>
      </c>
    </row>
    <row r="228" spans="1:16">
      <c r="A228" t="s">
        <v>71</v>
      </c>
      <c r="B228" t="s">
        <v>524</v>
      </c>
      <c r="C228" s="2" t="s">
        <v>525</v>
      </c>
      <c r="D228" s="24">
        <v>61</v>
      </c>
      <c r="E228" s="3">
        <v>23964</v>
      </c>
      <c r="F228" t="s">
        <v>126</v>
      </c>
      <c r="G228" t="s">
        <v>98</v>
      </c>
      <c r="H228" s="4">
        <v>7000</v>
      </c>
      <c r="I228" s="4">
        <v>1500</v>
      </c>
      <c r="J228" s="5" t="s">
        <v>46</v>
      </c>
      <c r="K228" s="6">
        <v>32</v>
      </c>
      <c r="L228" t="str" cm="1">
        <f t="array" ref="L228">_xlfn.IFS(K228&gt;=26,"Alto",K228&lt;11,"Baixo",K228&lt;26,"Médio")</f>
        <v>Alto</v>
      </c>
      <c r="M228" t="str">
        <f>IF(AND(Tabela13[[#This Row],[flag_inadimplente]]="Sim",Tabela13[[#This Row],[nivel_risco]]="Alto"),"Negado","Aprovado")</f>
        <v>Negado</v>
      </c>
      <c r="N228" t="str">
        <f>IF(AND(Tabela13[[#This Row],[credito_tomado]]&gt;50000,Tabela13[[#This Row],[flag_inadimplente]]="Sim"),"Negado","Aprovado")</f>
        <v>Aprovado</v>
      </c>
      <c r="O228" s="4">
        <f>IF(AND(Tabela13[[#This Row],[analise_risco]]="Negado",Tabela13[[#This Row],[analise_credito]]="Negado"),0,IF(Tabela13[[#This Row],[status]]="Ativo",Tabela13[[#This Row],[valor_solicitado]]*8%,0))</f>
        <v>4240</v>
      </c>
      <c r="P228" s="4">
        <v>53000</v>
      </c>
    </row>
    <row r="229" spans="1:16">
      <c r="A229" t="s">
        <v>71</v>
      </c>
      <c r="B229" t="s">
        <v>526</v>
      </c>
      <c r="C229" s="2" t="s">
        <v>527</v>
      </c>
      <c r="D229" s="24" t="s">
        <v>80</v>
      </c>
      <c r="E229" s="3">
        <v>34411</v>
      </c>
      <c r="F229" t="s">
        <v>90</v>
      </c>
      <c r="G229" t="s">
        <v>90</v>
      </c>
      <c r="H229" s="4" t="s">
        <v>80</v>
      </c>
      <c r="I229" s="4">
        <v>0</v>
      </c>
      <c r="J229" s="5" t="s">
        <v>45</v>
      </c>
      <c r="K229" s="6">
        <v>20</v>
      </c>
      <c r="L229" t="str" cm="1">
        <f t="array" ref="L229">_xlfn.IFS(K229&gt;=26,"Alto",K229&lt;11,"Baixo",K229&lt;26,"Médio")</f>
        <v>Médio</v>
      </c>
      <c r="M229" t="str">
        <f>IF(AND(Tabela13[[#This Row],[flag_inadimplente]]="Sim",Tabela13[[#This Row],[nivel_risco]]="Alto"),"Negado","Aprovado")</f>
        <v>Aprovado</v>
      </c>
      <c r="N229" t="str">
        <f>IF(AND(Tabela13[[#This Row],[credito_tomado]]&gt;50000,Tabela13[[#This Row],[flag_inadimplente]]="Sim"),"Negado","Aprovado")</f>
        <v>Aprovado</v>
      </c>
      <c r="O229" s="4">
        <f>IF(AND(Tabela13[[#This Row],[analise_risco]]="Negado",Tabela13[[#This Row],[analise_credito]]="Negado"),0,IF(Tabela13[[#This Row],[status]]="Ativo",Tabela13[[#This Row],[valor_solicitado]]*8%,0))</f>
        <v>3360</v>
      </c>
      <c r="P229" s="4">
        <v>42000</v>
      </c>
    </row>
    <row r="230" spans="1:16">
      <c r="A230" t="s">
        <v>85</v>
      </c>
      <c r="B230" t="s">
        <v>526</v>
      </c>
      <c r="C230" s="2" t="s">
        <v>528</v>
      </c>
      <c r="D230" s="24">
        <v>31</v>
      </c>
      <c r="E230" s="3">
        <v>34828</v>
      </c>
      <c r="F230" t="s">
        <v>152</v>
      </c>
      <c r="G230" t="s">
        <v>123</v>
      </c>
      <c r="H230" s="4">
        <v>24900</v>
      </c>
      <c r="I230" s="4">
        <v>72000</v>
      </c>
      <c r="J230" s="5" t="s">
        <v>45</v>
      </c>
      <c r="K230" s="6">
        <v>35</v>
      </c>
      <c r="L230" t="str" cm="1">
        <f t="array" ref="L230">_xlfn.IFS(K230&gt;=26,"Alto",K230&lt;11,"Baixo",K230&lt;26,"Médio")</f>
        <v>Alto</v>
      </c>
      <c r="M230" t="str">
        <f>IF(AND(Tabela13[[#This Row],[flag_inadimplente]]="Sim",Tabela13[[#This Row],[nivel_risco]]="Alto"),"Negado","Aprovado")</f>
        <v>Aprovado</v>
      </c>
      <c r="N230" t="str">
        <f>IF(AND(Tabela13[[#This Row],[credito_tomado]]&gt;50000,Tabela13[[#This Row],[flag_inadimplente]]="Sim"),"Negado","Aprovado")</f>
        <v>Aprovado</v>
      </c>
      <c r="O230" s="4">
        <f>IF(AND(Tabela13[[#This Row],[analise_risco]]="Negado",Tabela13[[#This Row],[analise_credito]]="Negado"),0,IF(Tabela13[[#This Row],[status]]="Ativo",Tabela13[[#This Row],[valor_solicitado]]*8%,0))</f>
        <v>0</v>
      </c>
      <c r="P230" s="4">
        <v>79000</v>
      </c>
    </row>
    <row r="231" spans="1:16">
      <c r="A231" t="s">
        <v>71</v>
      </c>
      <c r="B231" t="s">
        <v>529</v>
      </c>
      <c r="C231" s="2" t="s">
        <v>530</v>
      </c>
      <c r="D231" s="24">
        <v>25</v>
      </c>
      <c r="E231" s="3">
        <v>36831</v>
      </c>
      <c r="F231" t="s">
        <v>149</v>
      </c>
      <c r="G231" t="s">
        <v>79</v>
      </c>
      <c r="H231" s="4">
        <v>9400</v>
      </c>
      <c r="I231" s="4">
        <v>51500</v>
      </c>
      <c r="J231" s="5" t="s">
        <v>45</v>
      </c>
      <c r="K231" s="6">
        <v>14</v>
      </c>
      <c r="L231" t="str" cm="1">
        <f t="array" ref="L231">_xlfn.IFS(K231&gt;=26,"Alto",K231&lt;11,"Baixo",K231&lt;26,"Médio")</f>
        <v>Médio</v>
      </c>
      <c r="M231" t="str">
        <f>IF(AND(Tabela13[[#This Row],[flag_inadimplente]]="Sim",Tabela13[[#This Row],[nivel_risco]]="Alto"),"Negado","Aprovado")</f>
        <v>Aprovado</v>
      </c>
      <c r="N231" t="str">
        <f>IF(AND(Tabela13[[#This Row],[credito_tomado]]&gt;50000,Tabela13[[#This Row],[flag_inadimplente]]="Sim"),"Negado","Aprovado")</f>
        <v>Aprovado</v>
      </c>
      <c r="O231" s="4">
        <f>IF(AND(Tabela13[[#This Row],[analise_risco]]="Negado",Tabela13[[#This Row],[analise_credito]]="Negado"),0,IF(Tabela13[[#This Row],[status]]="Ativo",Tabela13[[#This Row],[valor_solicitado]]*8%,0))</f>
        <v>2360</v>
      </c>
      <c r="P231" s="4">
        <v>29500</v>
      </c>
    </row>
    <row r="232" spans="1:16">
      <c r="A232" t="s">
        <v>71</v>
      </c>
      <c r="B232" t="s">
        <v>529</v>
      </c>
      <c r="C232" s="2" t="s">
        <v>530</v>
      </c>
      <c r="D232" s="24">
        <v>25</v>
      </c>
      <c r="E232" s="3">
        <v>36831</v>
      </c>
      <c r="F232" t="s">
        <v>149</v>
      </c>
      <c r="G232" t="s">
        <v>79</v>
      </c>
      <c r="H232" s="4">
        <v>9400</v>
      </c>
      <c r="I232" s="4">
        <v>51500</v>
      </c>
      <c r="J232" s="5" t="s">
        <v>45</v>
      </c>
      <c r="K232" s="6">
        <v>14</v>
      </c>
      <c r="L232" t="str" cm="1">
        <f t="array" ref="L232">_xlfn.IFS(K232&gt;=26,"Alto",K232&lt;11,"Baixo",K232&lt;26,"Médio")</f>
        <v>Médio</v>
      </c>
      <c r="M232" t="str">
        <f>IF(AND(Tabela13[[#This Row],[flag_inadimplente]]="Sim",Tabela13[[#This Row],[nivel_risco]]="Alto"),"Negado","Aprovado")</f>
        <v>Aprovado</v>
      </c>
      <c r="N232" t="str">
        <f>IF(AND(Tabela13[[#This Row],[credito_tomado]]&gt;50000,Tabela13[[#This Row],[flag_inadimplente]]="Sim"),"Negado","Aprovado")</f>
        <v>Aprovado</v>
      </c>
      <c r="O232" s="4">
        <f>IF(AND(Tabela13[[#This Row],[analise_risco]]="Negado",Tabela13[[#This Row],[analise_credito]]="Negado"),0,IF(Tabela13[[#This Row],[status]]="Ativo",Tabela13[[#This Row],[valor_solicitado]]*8%,0))</f>
        <v>5920</v>
      </c>
      <c r="P232" s="4">
        <v>74000</v>
      </c>
    </row>
    <row r="233" spans="1:16">
      <c r="A233" t="s">
        <v>71</v>
      </c>
      <c r="B233" t="s">
        <v>531</v>
      </c>
      <c r="C233" s="2" t="s">
        <v>532</v>
      </c>
      <c r="D233" s="24">
        <v>60</v>
      </c>
      <c r="E233" s="3">
        <v>24021</v>
      </c>
      <c r="F233" t="s">
        <v>270</v>
      </c>
      <c r="G233" t="s">
        <v>98</v>
      </c>
      <c r="H233" s="4">
        <v>22900</v>
      </c>
      <c r="I233" s="4">
        <v>4500</v>
      </c>
      <c r="J233" s="5" t="s">
        <v>46</v>
      </c>
      <c r="K233" s="6">
        <v>29</v>
      </c>
      <c r="L233" t="str" cm="1">
        <f t="array" ref="L233">_xlfn.IFS(K233&gt;=26,"Alto",K233&lt;11,"Baixo",K233&lt;26,"Médio")</f>
        <v>Alto</v>
      </c>
      <c r="M233" t="str">
        <f>IF(AND(Tabela13[[#This Row],[flag_inadimplente]]="Sim",Tabela13[[#This Row],[nivel_risco]]="Alto"),"Negado","Aprovado")</f>
        <v>Negado</v>
      </c>
      <c r="N233" t="str">
        <f>IF(AND(Tabela13[[#This Row],[credito_tomado]]&gt;50000,Tabela13[[#This Row],[flag_inadimplente]]="Sim"),"Negado","Aprovado")</f>
        <v>Aprovado</v>
      </c>
      <c r="O233" s="4">
        <f>IF(AND(Tabela13[[#This Row],[analise_risco]]="Negado",Tabela13[[#This Row],[analise_credito]]="Negado"),0,IF(Tabela13[[#This Row],[status]]="Ativo",Tabela13[[#This Row],[valor_solicitado]]*8%,0))</f>
        <v>3480</v>
      </c>
      <c r="P233" s="4">
        <v>43500</v>
      </c>
    </row>
    <row r="234" spans="1:16">
      <c r="A234" t="s">
        <v>71</v>
      </c>
      <c r="B234" t="s">
        <v>533</v>
      </c>
      <c r="C234" s="2" t="s">
        <v>534</v>
      </c>
      <c r="D234" s="24">
        <v>32</v>
      </c>
      <c r="E234" s="3">
        <v>34457</v>
      </c>
      <c r="F234" t="s">
        <v>83</v>
      </c>
      <c r="G234" t="s">
        <v>84</v>
      </c>
      <c r="H234" s="4">
        <v>21300</v>
      </c>
      <c r="I234" s="4">
        <v>48000</v>
      </c>
      <c r="J234" s="5" t="s">
        <v>45</v>
      </c>
      <c r="K234" s="6">
        <v>11</v>
      </c>
      <c r="L234" t="str" cm="1">
        <f t="array" ref="L234">_xlfn.IFS(K234&gt;=26,"Alto",K234&lt;11,"Baixo",K234&lt;26,"Médio")</f>
        <v>Médio</v>
      </c>
      <c r="M234" t="str">
        <f>IF(AND(Tabela13[[#This Row],[flag_inadimplente]]="Sim",Tabela13[[#This Row],[nivel_risco]]="Alto"),"Negado","Aprovado")</f>
        <v>Aprovado</v>
      </c>
      <c r="N234" t="str">
        <f>IF(AND(Tabela13[[#This Row],[credito_tomado]]&gt;50000,Tabela13[[#This Row],[flag_inadimplente]]="Sim"),"Negado","Aprovado")</f>
        <v>Aprovado</v>
      </c>
      <c r="O234" s="4">
        <f>IF(AND(Tabela13[[#This Row],[analise_risco]]="Negado",Tabela13[[#This Row],[analise_credito]]="Negado"),0,IF(Tabela13[[#This Row],[status]]="Ativo",Tabela13[[#This Row],[valor_solicitado]]*8%,0))</f>
        <v>2800</v>
      </c>
      <c r="P234" s="4">
        <v>35000</v>
      </c>
    </row>
    <row r="235" spans="1:16">
      <c r="A235" t="s">
        <v>71</v>
      </c>
      <c r="B235" t="s">
        <v>535</v>
      </c>
      <c r="C235" s="2" t="s">
        <v>536</v>
      </c>
      <c r="D235" s="24">
        <v>39</v>
      </c>
      <c r="E235" s="3">
        <v>31879</v>
      </c>
      <c r="F235" t="s">
        <v>149</v>
      </c>
      <c r="G235" t="s">
        <v>79</v>
      </c>
      <c r="H235" s="4">
        <v>29900</v>
      </c>
      <c r="I235" s="4">
        <v>0</v>
      </c>
      <c r="J235" s="5" t="s">
        <v>45</v>
      </c>
      <c r="K235" s="6">
        <v>39</v>
      </c>
      <c r="L235" t="str" cm="1">
        <f t="array" ref="L235">_xlfn.IFS(K235&gt;=26,"Alto",K235&lt;11,"Baixo",K235&lt;26,"Médio")</f>
        <v>Alto</v>
      </c>
      <c r="M235" t="str">
        <f>IF(AND(Tabela13[[#This Row],[flag_inadimplente]]="Sim",Tabela13[[#This Row],[nivel_risco]]="Alto"),"Negado","Aprovado")</f>
        <v>Aprovado</v>
      </c>
      <c r="N235" t="str">
        <f>IF(AND(Tabela13[[#This Row],[credito_tomado]]&gt;50000,Tabela13[[#This Row],[flag_inadimplente]]="Sim"),"Negado","Aprovado")</f>
        <v>Aprovado</v>
      </c>
      <c r="O235" s="4">
        <f>IF(AND(Tabela13[[#This Row],[analise_risco]]="Negado",Tabela13[[#This Row],[analise_credito]]="Negado"),0,IF(Tabela13[[#This Row],[status]]="Ativo",Tabela13[[#This Row],[valor_solicitado]]*8%,0))</f>
        <v>6000</v>
      </c>
      <c r="P235" s="4">
        <v>75000</v>
      </c>
    </row>
    <row r="236" spans="1:16">
      <c r="A236" t="s">
        <v>71</v>
      </c>
      <c r="B236" t="s">
        <v>537</v>
      </c>
      <c r="C236" s="2" t="s">
        <v>538</v>
      </c>
      <c r="D236" s="24">
        <v>55</v>
      </c>
      <c r="E236" s="3">
        <v>26103</v>
      </c>
      <c r="F236" t="s">
        <v>216</v>
      </c>
      <c r="G236" t="s">
        <v>94</v>
      </c>
      <c r="H236" s="4">
        <v>9600</v>
      </c>
      <c r="I236" s="4">
        <v>43000</v>
      </c>
      <c r="J236" s="5" t="s">
        <v>45</v>
      </c>
      <c r="K236" s="6">
        <v>36</v>
      </c>
      <c r="L236" t="str" cm="1">
        <f t="array" ref="L236">_xlfn.IFS(K236&gt;=26,"Alto",K236&lt;11,"Baixo",K236&lt;26,"Médio")</f>
        <v>Alto</v>
      </c>
      <c r="M236" t="str">
        <f>IF(AND(Tabela13[[#This Row],[flag_inadimplente]]="Sim",Tabela13[[#This Row],[nivel_risco]]="Alto"),"Negado","Aprovado")</f>
        <v>Aprovado</v>
      </c>
      <c r="N236" t="str">
        <f>IF(AND(Tabela13[[#This Row],[credito_tomado]]&gt;50000,Tabela13[[#This Row],[flag_inadimplente]]="Sim"),"Negado","Aprovado")</f>
        <v>Aprovado</v>
      </c>
      <c r="O236" s="4">
        <f>IF(AND(Tabela13[[#This Row],[analise_risco]]="Negado",Tabela13[[#This Row],[analise_credito]]="Negado"),0,IF(Tabela13[[#This Row],[status]]="Ativo",Tabela13[[#This Row],[valor_solicitado]]*8%,0))</f>
        <v>5400</v>
      </c>
      <c r="P236" s="4">
        <v>67500</v>
      </c>
    </row>
    <row r="237" spans="1:16">
      <c r="A237" t="s">
        <v>71</v>
      </c>
      <c r="B237" t="s">
        <v>539</v>
      </c>
      <c r="C237" s="2" t="s">
        <v>540</v>
      </c>
      <c r="D237" s="24">
        <v>55</v>
      </c>
      <c r="E237" s="3">
        <v>25874</v>
      </c>
      <c r="F237" t="s">
        <v>90</v>
      </c>
      <c r="G237" t="s">
        <v>90</v>
      </c>
      <c r="H237" s="4">
        <v>29100</v>
      </c>
      <c r="I237" s="4">
        <v>5500</v>
      </c>
      <c r="J237" s="5" t="s">
        <v>45</v>
      </c>
      <c r="K237" s="6">
        <v>11</v>
      </c>
      <c r="L237" t="str" cm="1">
        <f t="array" ref="L237">_xlfn.IFS(K237&gt;=26,"Alto",K237&lt;11,"Baixo",K237&lt;26,"Médio")</f>
        <v>Médio</v>
      </c>
      <c r="M237" t="str">
        <f>IF(AND(Tabela13[[#This Row],[flag_inadimplente]]="Sim",Tabela13[[#This Row],[nivel_risco]]="Alto"),"Negado","Aprovado")</f>
        <v>Aprovado</v>
      </c>
      <c r="N237" t="str">
        <f>IF(AND(Tabela13[[#This Row],[credito_tomado]]&gt;50000,Tabela13[[#This Row],[flag_inadimplente]]="Sim"),"Negado","Aprovado")</f>
        <v>Aprovado</v>
      </c>
      <c r="O237" s="4">
        <f>IF(AND(Tabela13[[#This Row],[analise_risco]]="Negado",Tabela13[[#This Row],[analise_credito]]="Negado"),0,IF(Tabela13[[#This Row],[status]]="Ativo",Tabela13[[#This Row],[valor_solicitado]]*8%,0))</f>
        <v>4480</v>
      </c>
      <c r="P237" s="4">
        <v>56000</v>
      </c>
    </row>
    <row r="238" spans="1:16">
      <c r="A238" t="s">
        <v>71</v>
      </c>
      <c r="B238" t="s">
        <v>541</v>
      </c>
      <c r="C238" s="2" t="s">
        <v>542</v>
      </c>
      <c r="D238" s="24">
        <v>65</v>
      </c>
      <c r="E238" s="3">
        <v>22236</v>
      </c>
      <c r="F238" t="s">
        <v>101</v>
      </c>
      <c r="G238" t="s">
        <v>102</v>
      </c>
      <c r="H238" s="4">
        <v>23400</v>
      </c>
      <c r="I238" s="4">
        <v>28000</v>
      </c>
      <c r="J238" s="5" t="s">
        <v>45</v>
      </c>
      <c r="K238" s="6">
        <v>34</v>
      </c>
      <c r="L238" t="str" cm="1">
        <f t="array" ref="L238">_xlfn.IFS(K238&gt;=26,"Alto",K238&lt;11,"Baixo",K238&lt;26,"Médio")</f>
        <v>Alto</v>
      </c>
      <c r="M238" t="str">
        <f>IF(AND(Tabela13[[#This Row],[flag_inadimplente]]="Sim",Tabela13[[#This Row],[nivel_risco]]="Alto"),"Negado","Aprovado")</f>
        <v>Aprovado</v>
      </c>
      <c r="N238" t="str">
        <f>IF(AND(Tabela13[[#This Row],[credito_tomado]]&gt;50000,Tabela13[[#This Row],[flag_inadimplente]]="Sim"),"Negado","Aprovado")</f>
        <v>Aprovado</v>
      </c>
      <c r="O238" s="4">
        <f>IF(AND(Tabela13[[#This Row],[analise_risco]]="Negado",Tabela13[[#This Row],[analise_credito]]="Negado"),0,IF(Tabela13[[#This Row],[status]]="Ativo",Tabela13[[#This Row],[valor_solicitado]]*8%,0))</f>
        <v>5920</v>
      </c>
      <c r="P238" s="4">
        <v>74000</v>
      </c>
    </row>
    <row r="239" spans="1:16">
      <c r="A239" s="7" t="s">
        <v>80</v>
      </c>
      <c r="B239" t="s">
        <v>543</v>
      </c>
      <c r="C239" s="2" t="s">
        <v>544</v>
      </c>
      <c r="D239" s="24">
        <v>61</v>
      </c>
      <c r="E239" s="3">
        <v>23813</v>
      </c>
      <c r="F239" t="s">
        <v>115</v>
      </c>
      <c r="G239" t="s">
        <v>75</v>
      </c>
      <c r="H239" s="4">
        <v>26300</v>
      </c>
      <c r="I239" s="4">
        <v>40000</v>
      </c>
      <c r="J239" s="5" t="s">
        <v>46</v>
      </c>
      <c r="K239" s="6">
        <v>10</v>
      </c>
      <c r="L239" t="str" cm="1">
        <f t="array" ref="L239">_xlfn.IFS(K239&gt;=26,"Alto",K239&lt;11,"Baixo",K239&lt;26,"Médio")</f>
        <v>Baixo</v>
      </c>
      <c r="M239" t="str">
        <f>IF(AND(Tabela13[[#This Row],[flag_inadimplente]]="Sim",Tabela13[[#This Row],[nivel_risco]]="Alto"),"Negado","Aprovado")</f>
        <v>Aprovado</v>
      </c>
      <c r="N239" t="str">
        <f>IF(AND(Tabela13[[#This Row],[credito_tomado]]&gt;50000,Tabela13[[#This Row],[flag_inadimplente]]="Sim"),"Negado","Aprovado")</f>
        <v>Aprovado</v>
      </c>
      <c r="O239" s="4">
        <f>IF(AND(Tabela13[[#This Row],[analise_risco]]="Negado",Tabela13[[#This Row],[analise_credito]]="Negado"),0,IF(Tabela13[[#This Row],[status]]="Ativo",Tabela13[[#This Row],[valor_solicitado]]*8%,0))</f>
        <v>0</v>
      </c>
      <c r="P239" s="4">
        <v>16500</v>
      </c>
    </row>
    <row r="240" spans="1:16">
      <c r="A240" t="s">
        <v>71</v>
      </c>
      <c r="B240" t="s">
        <v>545</v>
      </c>
      <c r="C240" s="2" t="s">
        <v>546</v>
      </c>
      <c r="D240" s="24">
        <v>35</v>
      </c>
      <c r="E240" s="3">
        <v>33440</v>
      </c>
      <c r="F240" t="s">
        <v>101</v>
      </c>
      <c r="G240" t="s">
        <v>102</v>
      </c>
      <c r="H240" s="4">
        <v>2000</v>
      </c>
      <c r="I240" s="4">
        <v>5500</v>
      </c>
      <c r="J240" s="5" t="s">
        <v>45</v>
      </c>
      <c r="K240" s="6">
        <v>34</v>
      </c>
      <c r="L240" t="str" cm="1">
        <f t="array" ref="L240">_xlfn.IFS(K240&gt;=26,"Alto",K240&lt;11,"Baixo",K240&lt;26,"Médio")</f>
        <v>Alto</v>
      </c>
      <c r="M240" t="str">
        <f>IF(AND(Tabela13[[#This Row],[flag_inadimplente]]="Sim",Tabela13[[#This Row],[nivel_risco]]="Alto"),"Negado","Aprovado")</f>
        <v>Aprovado</v>
      </c>
      <c r="N240" t="str">
        <f>IF(AND(Tabela13[[#This Row],[credito_tomado]]&gt;50000,Tabela13[[#This Row],[flag_inadimplente]]="Sim"),"Negado","Aprovado")</f>
        <v>Aprovado</v>
      </c>
      <c r="O240" s="4">
        <f>IF(AND(Tabela13[[#This Row],[analise_risco]]="Negado",Tabela13[[#This Row],[analise_credito]]="Negado"),0,IF(Tabela13[[#This Row],[status]]="Ativo",Tabela13[[#This Row],[valor_solicitado]]*8%,0))</f>
        <v>5680</v>
      </c>
      <c r="P240" s="4">
        <v>71000</v>
      </c>
    </row>
    <row r="241" spans="1:16">
      <c r="A241" t="s">
        <v>85</v>
      </c>
      <c r="B241" t="s">
        <v>547</v>
      </c>
      <c r="C241" s="2" t="s">
        <v>548</v>
      </c>
      <c r="D241" s="24">
        <v>20</v>
      </c>
      <c r="E241" s="3">
        <v>38704</v>
      </c>
      <c r="F241" t="s">
        <v>93</v>
      </c>
      <c r="G241" t="s">
        <v>94</v>
      </c>
      <c r="H241" s="4">
        <v>12900</v>
      </c>
      <c r="I241" s="4">
        <v>26500</v>
      </c>
      <c r="J241" s="5" t="s">
        <v>45</v>
      </c>
      <c r="K241" s="6">
        <v>13</v>
      </c>
      <c r="L241" t="str" cm="1">
        <f t="array" ref="L241">_xlfn.IFS(K241&gt;=26,"Alto",K241&lt;11,"Baixo",K241&lt;26,"Médio")</f>
        <v>Médio</v>
      </c>
      <c r="M241" t="str">
        <f>IF(AND(Tabela13[[#This Row],[flag_inadimplente]]="Sim",Tabela13[[#This Row],[nivel_risco]]="Alto"),"Negado","Aprovado")</f>
        <v>Aprovado</v>
      </c>
      <c r="N241" t="str">
        <f>IF(AND(Tabela13[[#This Row],[credito_tomado]]&gt;50000,Tabela13[[#This Row],[flag_inadimplente]]="Sim"),"Negado","Aprovado")</f>
        <v>Aprovado</v>
      </c>
      <c r="O241" s="4">
        <f>IF(AND(Tabela13[[#This Row],[analise_risco]]="Negado",Tabela13[[#This Row],[analise_credito]]="Negado"),0,IF(Tabela13[[#This Row],[status]]="Ativo",Tabela13[[#This Row],[valor_solicitado]]*8%,0))</f>
        <v>0</v>
      </c>
      <c r="P241" s="4">
        <v>2000</v>
      </c>
    </row>
    <row r="242" spans="1:16">
      <c r="A242" t="s">
        <v>71</v>
      </c>
      <c r="B242" t="s">
        <v>549</v>
      </c>
      <c r="C242" s="2" t="s">
        <v>550</v>
      </c>
      <c r="D242" s="24">
        <v>24</v>
      </c>
      <c r="E242" s="3" t="s">
        <v>80</v>
      </c>
      <c r="F242" t="s">
        <v>97</v>
      </c>
      <c r="G242" t="s">
        <v>98</v>
      </c>
      <c r="H242" s="4">
        <v>29300</v>
      </c>
      <c r="I242" s="4">
        <v>32000</v>
      </c>
      <c r="J242" s="5" t="s">
        <v>46</v>
      </c>
      <c r="K242" s="6">
        <v>26</v>
      </c>
      <c r="L242" t="str" cm="1">
        <f t="array" ref="L242">_xlfn.IFS(K242&gt;=26,"Alto",K242&lt;11,"Baixo",K242&lt;26,"Médio")</f>
        <v>Alto</v>
      </c>
      <c r="M242" t="str">
        <f>IF(AND(Tabela13[[#This Row],[flag_inadimplente]]="Sim",Tabela13[[#This Row],[nivel_risco]]="Alto"),"Negado","Aprovado")</f>
        <v>Negado</v>
      </c>
      <c r="N242" t="str">
        <f>IF(AND(Tabela13[[#This Row],[credito_tomado]]&gt;50000,Tabela13[[#This Row],[flag_inadimplente]]="Sim"),"Negado","Aprovado")</f>
        <v>Aprovado</v>
      </c>
      <c r="O242" s="4">
        <f>IF(AND(Tabela13[[#This Row],[analise_risco]]="Negado",Tabela13[[#This Row],[analise_credito]]="Negado"),0,IF(Tabela13[[#This Row],[status]]="Ativo",Tabela13[[#This Row],[valor_solicitado]]*8%,0))</f>
        <v>4720</v>
      </c>
      <c r="P242" s="4">
        <v>59000</v>
      </c>
    </row>
    <row r="243" spans="1:16">
      <c r="A243" t="s">
        <v>85</v>
      </c>
      <c r="B243" t="s">
        <v>549</v>
      </c>
      <c r="C243" s="2" t="s">
        <v>551</v>
      </c>
      <c r="D243" s="24">
        <v>55</v>
      </c>
      <c r="E243" s="3">
        <v>26075</v>
      </c>
      <c r="F243" t="s">
        <v>107</v>
      </c>
      <c r="G243" t="s">
        <v>108</v>
      </c>
      <c r="H243" s="4">
        <v>21100</v>
      </c>
      <c r="I243" s="4">
        <v>67500</v>
      </c>
      <c r="J243" s="5" t="s">
        <v>45</v>
      </c>
      <c r="K243" s="6">
        <v>15</v>
      </c>
      <c r="L243" t="str" cm="1">
        <f t="array" ref="L243">_xlfn.IFS(K243&gt;=26,"Alto",K243&lt;11,"Baixo",K243&lt;26,"Médio")</f>
        <v>Médio</v>
      </c>
      <c r="M243" t="str">
        <f>IF(AND(Tabela13[[#This Row],[flag_inadimplente]]="Sim",Tabela13[[#This Row],[nivel_risco]]="Alto"),"Negado","Aprovado")</f>
        <v>Aprovado</v>
      </c>
      <c r="N243" t="str">
        <f>IF(AND(Tabela13[[#This Row],[credito_tomado]]&gt;50000,Tabela13[[#This Row],[flag_inadimplente]]="Sim"),"Negado","Aprovado")</f>
        <v>Aprovado</v>
      </c>
      <c r="O243" s="4">
        <f>IF(AND(Tabela13[[#This Row],[analise_risco]]="Negado",Tabela13[[#This Row],[analise_credito]]="Negado"),0,IF(Tabela13[[#This Row],[status]]="Ativo",Tabela13[[#This Row],[valor_solicitado]]*8%,0))</f>
        <v>0</v>
      </c>
      <c r="P243" s="4">
        <v>20000</v>
      </c>
    </row>
    <row r="244" spans="1:16">
      <c r="A244" t="s">
        <v>85</v>
      </c>
      <c r="B244" t="s">
        <v>552</v>
      </c>
      <c r="C244" s="2" t="s">
        <v>553</v>
      </c>
      <c r="D244" s="24" t="s">
        <v>80</v>
      </c>
      <c r="E244" s="3">
        <v>19672</v>
      </c>
      <c r="F244" t="s">
        <v>90</v>
      </c>
      <c r="G244" t="s">
        <v>90</v>
      </c>
      <c r="H244" s="4">
        <v>21000</v>
      </c>
      <c r="I244" s="4">
        <v>0</v>
      </c>
      <c r="J244" s="5" t="s">
        <v>45</v>
      </c>
      <c r="K244" s="6">
        <v>11</v>
      </c>
      <c r="L244" t="str" cm="1">
        <f t="array" ref="L244">_xlfn.IFS(K244&gt;=26,"Alto",K244&lt;11,"Baixo",K244&lt;26,"Médio")</f>
        <v>Médio</v>
      </c>
      <c r="M244" t="str">
        <f>IF(AND(Tabela13[[#This Row],[flag_inadimplente]]="Sim",Tabela13[[#This Row],[nivel_risco]]="Alto"),"Negado","Aprovado")</f>
        <v>Aprovado</v>
      </c>
      <c r="N244" t="str">
        <f>IF(AND(Tabela13[[#This Row],[credito_tomado]]&gt;50000,Tabela13[[#This Row],[flag_inadimplente]]="Sim"),"Negado","Aprovado")</f>
        <v>Aprovado</v>
      </c>
      <c r="O244" s="4">
        <f>IF(AND(Tabela13[[#This Row],[analise_risco]]="Negado",Tabela13[[#This Row],[analise_credito]]="Negado"),0,IF(Tabela13[[#This Row],[status]]="Ativo",Tabela13[[#This Row],[valor_solicitado]]*8%,0))</f>
        <v>0</v>
      </c>
      <c r="P244" s="4">
        <v>75500</v>
      </c>
    </row>
    <row r="245" spans="1:16">
      <c r="A245" t="s">
        <v>71</v>
      </c>
      <c r="B245" t="s">
        <v>554</v>
      </c>
      <c r="C245" s="2" t="s">
        <v>555</v>
      </c>
      <c r="D245" s="24">
        <v>34</v>
      </c>
      <c r="E245" s="3">
        <v>33525</v>
      </c>
      <c r="F245" t="s">
        <v>270</v>
      </c>
      <c r="G245" s="7" t="s">
        <v>80</v>
      </c>
      <c r="H245" s="4">
        <v>28000</v>
      </c>
      <c r="I245" s="4">
        <v>36500</v>
      </c>
      <c r="J245" s="5" t="s">
        <v>45</v>
      </c>
      <c r="K245" s="6">
        <v>33</v>
      </c>
      <c r="L245" t="str" cm="1">
        <f t="array" ref="L245">_xlfn.IFS(K245&gt;=26,"Alto",K245&lt;11,"Baixo",K245&lt;26,"Médio")</f>
        <v>Alto</v>
      </c>
      <c r="M245" t="str">
        <f>IF(AND(Tabela13[[#This Row],[flag_inadimplente]]="Sim",Tabela13[[#This Row],[nivel_risco]]="Alto"),"Negado","Aprovado")</f>
        <v>Aprovado</v>
      </c>
      <c r="N245" t="str">
        <f>IF(AND(Tabela13[[#This Row],[credito_tomado]]&gt;50000,Tabela13[[#This Row],[flag_inadimplente]]="Sim"),"Negado","Aprovado")</f>
        <v>Aprovado</v>
      </c>
      <c r="O245" s="4">
        <f>IF(AND(Tabela13[[#This Row],[analise_risco]]="Negado",Tabela13[[#This Row],[analise_credito]]="Negado"),0,IF(Tabela13[[#This Row],[status]]="Ativo",Tabela13[[#This Row],[valor_solicitado]]*8%,0))</f>
        <v>4800</v>
      </c>
      <c r="P245" s="4">
        <v>60000</v>
      </c>
    </row>
    <row r="246" spans="1:16">
      <c r="A246" t="s">
        <v>71</v>
      </c>
      <c r="B246" t="s">
        <v>556</v>
      </c>
      <c r="C246" s="2" t="s">
        <v>557</v>
      </c>
      <c r="D246" s="24">
        <v>57</v>
      </c>
      <c r="E246" s="3">
        <v>25199</v>
      </c>
      <c r="F246" t="s">
        <v>149</v>
      </c>
      <c r="G246" t="s">
        <v>79</v>
      </c>
      <c r="H246" s="4">
        <v>20700</v>
      </c>
      <c r="I246" s="4">
        <v>64500</v>
      </c>
      <c r="J246" s="5" t="s">
        <v>45</v>
      </c>
      <c r="K246" s="6">
        <v>19</v>
      </c>
      <c r="L246" t="str" cm="1">
        <f t="array" ref="L246">_xlfn.IFS(K246&gt;=26,"Alto",K246&lt;11,"Baixo",K246&lt;26,"Médio")</f>
        <v>Médio</v>
      </c>
      <c r="M246" t="str">
        <f>IF(AND(Tabela13[[#This Row],[flag_inadimplente]]="Sim",Tabela13[[#This Row],[nivel_risco]]="Alto"),"Negado","Aprovado")</f>
        <v>Aprovado</v>
      </c>
      <c r="N246" t="str">
        <f>IF(AND(Tabela13[[#This Row],[credito_tomado]]&gt;50000,Tabela13[[#This Row],[flag_inadimplente]]="Sim"),"Negado","Aprovado")</f>
        <v>Aprovado</v>
      </c>
      <c r="O246" s="4">
        <f>IF(AND(Tabela13[[#This Row],[analise_risco]]="Negado",Tabela13[[#This Row],[analise_credito]]="Negado"),0,IF(Tabela13[[#This Row],[status]]="Ativo",Tabela13[[#This Row],[valor_solicitado]]*8%,0))</f>
        <v>4360</v>
      </c>
      <c r="P246" s="4">
        <v>54500</v>
      </c>
    </row>
    <row r="247" spans="1:16">
      <c r="A247" t="s">
        <v>85</v>
      </c>
      <c r="B247" t="s">
        <v>558</v>
      </c>
      <c r="C247" s="2" t="s">
        <v>559</v>
      </c>
      <c r="D247" s="24">
        <v>66</v>
      </c>
      <c r="E247" s="3">
        <v>21954</v>
      </c>
      <c r="F247" t="s">
        <v>152</v>
      </c>
      <c r="G247" t="s">
        <v>123</v>
      </c>
      <c r="H247" s="4">
        <v>3400</v>
      </c>
      <c r="I247" s="4">
        <v>78000</v>
      </c>
      <c r="J247" s="5" t="s">
        <v>45</v>
      </c>
      <c r="K247" s="6">
        <v>9</v>
      </c>
      <c r="L247" t="str" cm="1">
        <f t="array" ref="L247">_xlfn.IFS(K247&gt;=26,"Alto",K247&lt;11,"Baixo",K247&lt;26,"Médio")</f>
        <v>Baixo</v>
      </c>
      <c r="M247" t="str">
        <f>IF(AND(Tabela13[[#This Row],[flag_inadimplente]]="Sim",Tabela13[[#This Row],[nivel_risco]]="Alto"),"Negado","Aprovado")</f>
        <v>Aprovado</v>
      </c>
      <c r="N247" t="str">
        <f>IF(AND(Tabela13[[#This Row],[credito_tomado]]&gt;50000,Tabela13[[#This Row],[flag_inadimplente]]="Sim"),"Negado","Aprovado")</f>
        <v>Aprovado</v>
      </c>
      <c r="O247" s="4">
        <f>IF(AND(Tabela13[[#This Row],[analise_risco]]="Negado",Tabela13[[#This Row],[analise_credito]]="Negado"),0,IF(Tabela13[[#This Row],[status]]="Ativo",Tabela13[[#This Row],[valor_solicitado]]*8%,0))</f>
        <v>0</v>
      </c>
      <c r="P247" s="4">
        <v>51500</v>
      </c>
    </row>
    <row r="248" spans="1:16">
      <c r="A248" t="s">
        <v>71</v>
      </c>
      <c r="B248" t="s">
        <v>560</v>
      </c>
      <c r="C248" s="2" t="s">
        <v>561</v>
      </c>
      <c r="D248" s="24">
        <v>18</v>
      </c>
      <c r="E248" s="3">
        <v>39342</v>
      </c>
      <c r="F248" t="s">
        <v>149</v>
      </c>
      <c r="G248" t="s">
        <v>79</v>
      </c>
      <c r="H248" s="4">
        <v>28900</v>
      </c>
      <c r="I248" s="4">
        <v>22000</v>
      </c>
      <c r="J248" s="5" t="s">
        <v>45</v>
      </c>
      <c r="K248" s="6">
        <v>23</v>
      </c>
      <c r="L248" t="str" cm="1">
        <f t="array" ref="L248">_xlfn.IFS(K248&gt;=26,"Alto",K248&lt;11,"Baixo",K248&lt;26,"Médio")</f>
        <v>Médio</v>
      </c>
      <c r="M248" t="str">
        <f>IF(AND(Tabela13[[#This Row],[flag_inadimplente]]="Sim",Tabela13[[#This Row],[nivel_risco]]="Alto"),"Negado","Aprovado")</f>
        <v>Aprovado</v>
      </c>
      <c r="N248" t="str">
        <f>IF(AND(Tabela13[[#This Row],[credito_tomado]]&gt;50000,Tabela13[[#This Row],[flag_inadimplente]]="Sim"),"Negado","Aprovado")</f>
        <v>Aprovado</v>
      </c>
      <c r="O248" s="4">
        <f>IF(AND(Tabela13[[#This Row],[analise_risco]]="Negado",Tabela13[[#This Row],[analise_credito]]="Negado"),0,IF(Tabela13[[#This Row],[status]]="Ativo",Tabela13[[#This Row],[valor_solicitado]]*8%,0))</f>
        <v>7200</v>
      </c>
      <c r="P248" s="4">
        <v>90000</v>
      </c>
    </row>
    <row r="249" spans="1:16">
      <c r="A249" t="s">
        <v>71</v>
      </c>
      <c r="B249" t="s">
        <v>562</v>
      </c>
      <c r="C249" s="2" t="s">
        <v>563</v>
      </c>
      <c r="D249" s="24">
        <v>44</v>
      </c>
      <c r="E249" s="3">
        <v>30081</v>
      </c>
      <c r="F249" t="s">
        <v>115</v>
      </c>
      <c r="G249" t="s">
        <v>75</v>
      </c>
      <c r="H249" s="4">
        <v>9600</v>
      </c>
      <c r="I249" s="4">
        <v>66000</v>
      </c>
      <c r="J249" s="5" t="s">
        <v>211</v>
      </c>
      <c r="K249" s="6">
        <v>11</v>
      </c>
      <c r="L249" t="str" cm="1">
        <f t="array" ref="L249">_xlfn.IFS(K249&gt;=26,"Alto",K249&lt;11,"Baixo",K249&lt;26,"Médio")</f>
        <v>Médio</v>
      </c>
      <c r="M249" t="str">
        <f>IF(AND(Tabela13[[#This Row],[flag_inadimplente]]="Sim",Tabela13[[#This Row],[nivel_risco]]="Alto"),"Negado","Aprovado")</f>
        <v>Aprovado</v>
      </c>
      <c r="N249" t="str">
        <f>IF(AND(Tabela13[[#This Row],[credito_tomado]]&gt;50000,Tabela13[[#This Row],[flag_inadimplente]]="Sim"),"Negado","Aprovado")</f>
        <v>Aprovado</v>
      </c>
      <c r="O249" s="4">
        <f>IF(AND(Tabela13[[#This Row],[analise_risco]]="Negado",Tabela13[[#This Row],[analise_credito]]="Negado"),0,IF(Tabela13[[#This Row],[status]]="Ativo",Tabela13[[#This Row],[valor_solicitado]]*8%,0))</f>
        <v>360</v>
      </c>
      <c r="P249" s="4">
        <v>4500</v>
      </c>
    </row>
    <row r="250" spans="1:16">
      <c r="A250" t="s">
        <v>85</v>
      </c>
      <c r="B250" t="s">
        <v>564</v>
      </c>
      <c r="C250" s="2" t="s">
        <v>565</v>
      </c>
      <c r="D250" s="24">
        <v>27</v>
      </c>
      <c r="E250" s="3">
        <v>36151</v>
      </c>
      <c r="F250" t="s">
        <v>270</v>
      </c>
      <c r="G250" t="s">
        <v>98</v>
      </c>
      <c r="H250" s="4">
        <v>25900</v>
      </c>
      <c r="I250" s="4">
        <v>0</v>
      </c>
      <c r="J250" s="5" t="s">
        <v>46</v>
      </c>
      <c r="K250" s="6">
        <v>10</v>
      </c>
      <c r="L250" t="str" cm="1">
        <f t="array" ref="L250">_xlfn.IFS(K250&gt;=26,"Alto",K250&lt;11,"Baixo",K250&lt;26,"Médio")</f>
        <v>Baixo</v>
      </c>
      <c r="M250" t="str">
        <f>IF(AND(Tabela13[[#This Row],[flag_inadimplente]]="Sim",Tabela13[[#This Row],[nivel_risco]]="Alto"),"Negado","Aprovado")</f>
        <v>Aprovado</v>
      </c>
      <c r="N250" t="str">
        <f>IF(AND(Tabela13[[#This Row],[credito_tomado]]&gt;50000,Tabela13[[#This Row],[flag_inadimplente]]="Sim"),"Negado","Aprovado")</f>
        <v>Aprovado</v>
      </c>
      <c r="O250" s="4">
        <f>IF(AND(Tabela13[[#This Row],[analise_risco]]="Negado",Tabela13[[#This Row],[analise_credito]]="Negado"),0,IF(Tabela13[[#This Row],[status]]="Ativo",Tabela13[[#This Row],[valor_solicitado]]*8%,0))</f>
        <v>0</v>
      </c>
      <c r="P250" s="4">
        <v>5000</v>
      </c>
    </row>
    <row r="251" spans="1:16">
      <c r="A251" t="s">
        <v>71</v>
      </c>
      <c r="B251" t="s">
        <v>566</v>
      </c>
      <c r="C251" s="2" t="s">
        <v>567</v>
      </c>
      <c r="D251" s="24">
        <v>35</v>
      </c>
      <c r="E251" s="3">
        <v>33309</v>
      </c>
      <c r="F251" t="s">
        <v>83</v>
      </c>
      <c r="G251" t="s">
        <v>84</v>
      </c>
      <c r="H251" s="4">
        <v>28500</v>
      </c>
      <c r="I251" s="4">
        <v>48500</v>
      </c>
      <c r="J251" s="5" t="s">
        <v>45</v>
      </c>
      <c r="K251" s="6">
        <v>24</v>
      </c>
      <c r="L251" t="str" cm="1">
        <f t="array" ref="L251">_xlfn.IFS(K251&gt;=26,"Alto",K251&lt;11,"Baixo",K251&lt;26,"Médio")</f>
        <v>Médio</v>
      </c>
      <c r="M251" t="str">
        <f>IF(AND(Tabela13[[#This Row],[flag_inadimplente]]="Sim",Tabela13[[#This Row],[nivel_risco]]="Alto"),"Negado","Aprovado")</f>
        <v>Aprovado</v>
      </c>
      <c r="N251" t="str">
        <f>IF(AND(Tabela13[[#This Row],[credito_tomado]]&gt;50000,Tabela13[[#This Row],[flag_inadimplente]]="Sim"),"Negado","Aprovado")</f>
        <v>Aprovado</v>
      </c>
      <c r="O251" s="4">
        <f>IF(AND(Tabela13[[#This Row],[analise_risco]]="Negado",Tabela13[[#This Row],[analise_credito]]="Negado"),0,IF(Tabela13[[#This Row],[status]]="Ativo",Tabela13[[#This Row],[valor_solicitado]]*8%,0))</f>
        <v>6440</v>
      </c>
      <c r="P251" s="4">
        <v>80500</v>
      </c>
    </row>
    <row r="252" spans="1:16">
      <c r="A252" t="s">
        <v>71</v>
      </c>
      <c r="B252" t="s">
        <v>568</v>
      </c>
      <c r="C252" s="2" t="s">
        <v>569</v>
      </c>
      <c r="D252" s="24">
        <v>30</v>
      </c>
      <c r="E252" s="3">
        <v>35109</v>
      </c>
      <c r="F252" t="s">
        <v>216</v>
      </c>
      <c r="G252" t="s">
        <v>94</v>
      </c>
      <c r="H252" s="4">
        <v>2600</v>
      </c>
      <c r="I252" s="4">
        <v>62000</v>
      </c>
      <c r="J252" s="5" t="s">
        <v>45</v>
      </c>
      <c r="K252" s="6">
        <v>22</v>
      </c>
      <c r="L252" t="str" cm="1">
        <f t="array" ref="L252">_xlfn.IFS(K252&gt;=26,"Alto",K252&lt;11,"Baixo",K252&lt;26,"Médio")</f>
        <v>Médio</v>
      </c>
      <c r="M252" t="str">
        <f>IF(AND(Tabela13[[#This Row],[flag_inadimplente]]="Sim",Tabela13[[#This Row],[nivel_risco]]="Alto"),"Negado","Aprovado")</f>
        <v>Aprovado</v>
      </c>
      <c r="N252" t="str">
        <f>IF(AND(Tabela13[[#This Row],[credito_tomado]]&gt;50000,Tabela13[[#This Row],[flag_inadimplente]]="Sim"),"Negado","Aprovado")</f>
        <v>Aprovado</v>
      </c>
      <c r="O252" s="4">
        <f>IF(AND(Tabela13[[#This Row],[analise_risco]]="Negado",Tabela13[[#This Row],[analise_credito]]="Negado"),0,IF(Tabela13[[#This Row],[status]]="Ativo",Tabela13[[#This Row],[valor_solicitado]]*8%,0))</f>
        <v>4960</v>
      </c>
      <c r="P252" s="4">
        <v>62000</v>
      </c>
    </row>
    <row r="253" spans="1:16">
      <c r="A253" t="s">
        <v>71</v>
      </c>
      <c r="B253" t="s">
        <v>570</v>
      </c>
      <c r="C253" s="2" t="s">
        <v>571</v>
      </c>
      <c r="D253" s="24">
        <v>24</v>
      </c>
      <c r="E253" s="3">
        <v>37290</v>
      </c>
      <c r="F253" t="s">
        <v>78</v>
      </c>
      <c r="G253" t="s">
        <v>79</v>
      </c>
      <c r="H253" s="4">
        <v>6400</v>
      </c>
      <c r="I253" s="4">
        <v>41000</v>
      </c>
      <c r="J253" s="5" t="s">
        <v>45</v>
      </c>
      <c r="K253" s="6">
        <v>22</v>
      </c>
      <c r="L253" t="str" cm="1">
        <f t="array" ref="L253">_xlfn.IFS(K253&gt;=26,"Alto",K253&lt;11,"Baixo",K253&lt;26,"Médio")</f>
        <v>Médio</v>
      </c>
      <c r="M253" t="str">
        <f>IF(AND(Tabela13[[#This Row],[flag_inadimplente]]="Sim",Tabela13[[#This Row],[nivel_risco]]="Alto"),"Negado","Aprovado")</f>
        <v>Aprovado</v>
      </c>
      <c r="N253" t="str">
        <f>IF(AND(Tabela13[[#This Row],[credito_tomado]]&gt;50000,Tabela13[[#This Row],[flag_inadimplente]]="Sim"),"Negado","Aprovado")</f>
        <v>Aprovado</v>
      </c>
      <c r="O253" s="4">
        <f>IF(AND(Tabela13[[#This Row],[analise_risco]]="Negado",Tabela13[[#This Row],[analise_credito]]="Negado"),0,IF(Tabela13[[#This Row],[status]]="Ativo",Tabela13[[#This Row],[valor_solicitado]]*8%,0))</f>
        <v>5960</v>
      </c>
      <c r="P253" s="4">
        <v>74500</v>
      </c>
    </row>
    <row r="254" spans="1:16">
      <c r="A254" t="s">
        <v>71</v>
      </c>
      <c r="B254" t="s">
        <v>572</v>
      </c>
      <c r="C254" s="2" t="s">
        <v>573</v>
      </c>
      <c r="D254" s="24">
        <v>64</v>
      </c>
      <c r="E254" s="3">
        <v>22845</v>
      </c>
      <c r="F254" t="s">
        <v>147</v>
      </c>
      <c r="G254" t="s">
        <v>98</v>
      </c>
      <c r="H254" s="4">
        <v>12700</v>
      </c>
      <c r="I254" s="4">
        <v>0</v>
      </c>
      <c r="J254" s="5" t="s">
        <v>45</v>
      </c>
      <c r="K254" s="6">
        <v>21</v>
      </c>
      <c r="L254" t="str" cm="1">
        <f t="array" ref="L254">_xlfn.IFS(K254&gt;=26,"Alto",K254&lt;11,"Baixo",K254&lt;26,"Médio")</f>
        <v>Médio</v>
      </c>
      <c r="M254" t="str">
        <f>IF(AND(Tabela13[[#This Row],[flag_inadimplente]]="Sim",Tabela13[[#This Row],[nivel_risco]]="Alto"),"Negado","Aprovado")</f>
        <v>Aprovado</v>
      </c>
      <c r="N254" t="str">
        <f>IF(AND(Tabela13[[#This Row],[credito_tomado]]&gt;50000,Tabela13[[#This Row],[flag_inadimplente]]="Sim"),"Negado","Aprovado")</f>
        <v>Aprovado</v>
      </c>
      <c r="O254" s="4">
        <f>IF(AND(Tabela13[[#This Row],[analise_risco]]="Negado",Tabela13[[#This Row],[analise_credito]]="Negado"),0,IF(Tabela13[[#This Row],[status]]="Ativo",Tabela13[[#This Row],[valor_solicitado]]*8%,0))</f>
        <v>4040</v>
      </c>
      <c r="P254" s="4">
        <v>50500</v>
      </c>
    </row>
    <row r="255" spans="1:16">
      <c r="A255" t="s">
        <v>71</v>
      </c>
      <c r="B255" t="s">
        <v>574</v>
      </c>
      <c r="C255" s="2" t="s">
        <v>575</v>
      </c>
      <c r="D255" s="24">
        <v>60</v>
      </c>
      <c r="E255" s="3">
        <v>24272</v>
      </c>
      <c r="F255" t="s">
        <v>298</v>
      </c>
      <c r="G255" t="s">
        <v>79</v>
      </c>
      <c r="H255" s="4">
        <v>17300</v>
      </c>
      <c r="I255" s="4">
        <v>15000</v>
      </c>
      <c r="J255" s="5" t="s">
        <v>45</v>
      </c>
      <c r="K255" s="6">
        <v>17</v>
      </c>
      <c r="L255" t="str" cm="1">
        <f t="array" ref="L255">_xlfn.IFS(K255&gt;=26,"Alto",K255&lt;11,"Baixo",K255&lt;26,"Médio")</f>
        <v>Médio</v>
      </c>
      <c r="M255" t="str">
        <f>IF(AND(Tabela13[[#This Row],[flag_inadimplente]]="Sim",Tabela13[[#This Row],[nivel_risco]]="Alto"),"Negado","Aprovado")</f>
        <v>Aprovado</v>
      </c>
      <c r="N255" t="str">
        <f>IF(AND(Tabela13[[#This Row],[credito_tomado]]&gt;50000,Tabela13[[#This Row],[flag_inadimplente]]="Sim"),"Negado","Aprovado")</f>
        <v>Aprovado</v>
      </c>
      <c r="O255" s="4">
        <f>IF(AND(Tabela13[[#This Row],[analise_risco]]="Negado",Tabela13[[#This Row],[analise_credito]]="Negado"),0,IF(Tabela13[[#This Row],[status]]="Ativo",Tabela13[[#This Row],[valor_solicitado]]*8%,0))</f>
        <v>5520</v>
      </c>
      <c r="P255" s="4">
        <v>69000</v>
      </c>
    </row>
    <row r="256" spans="1:16">
      <c r="A256" t="s">
        <v>85</v>
      </c>
      <c r="B256" t="s">
        <v>576</v>
      </c>
      <c r="C256" s="2" t="s">
        <v>577</v>
      </c>
      <c r="D256" s="24">
        <v>33</v>
      </c>
      <c r="E256" s="3">
        <v>34082</v>
      </c>
      <c r="F256" t="s">
        <v>74</v>
      </c>
      <c r="G256" t="s">
        <v>75</v>
      </c>
      <c r="H256" s="4">
        <v>23600</v>
      </c>
      <c r="I256" s="4">
        <v>75500</v>
      </c>
      <c r="J256" s="5" t="s">
        <v>45</v>
      </c>
      <c r="K256" s="6">
        <v>16</v>
      </c>
      <c r="L256" t="str" cm="1">
        <f t="array" ref="L256">_xlfn.IFS(K256&gt;=26,"Alto",K256&lt;11,"Baixo",K256&lt;26,"Médio")</f>
        <v>Médio</v>
      </c>
      <c r="M256" t="str">
        <f>IF(AND(Tabela13[[#This Row],[flag_inadimplente]]="Sim",Tabela13[[#This Row],[nivel_risco]]="Alto"),"Negado","Aprovado")</f>
        <v>Aprovado</v>
      </c>
      <c r="N256" t="str">
        <f>IF(AND(Tabela13[[#This Row],[credito_tomado]]&gt;50000,Tabela13[[#This Row],[flag_inadimplente]]="Sim"),"Negado","Aprovado")</f>
        <v>Aprovado</v>
      </c>
      <c r="O256" s="4">
        <f>IF(AND(Tabela13[[#This Row],[analise_risco]]="Negado",Tabela13[[#This Row],[analise_credito]]="Negado"),0,IF(Tabela13[[#This Row],[status]]="Ativo",Tabela13[[#This Row],[valor_solicitado]]*8%,0))</f>
        <v>0</v>
      </c>
      <c r="P256" s="4">
        <v>88000</v>
      </c>
    </row>
    <row r="257" spans="1:16">
      <c r="A257" t="s">
        <v>71</v>
      </c>
      <c r="B257" t="s">
        <v>578</v>
      </c>
      <c r="C257" s="2" t="s">
        <v>579</v>
      </c>
      <c r="D257" s="24">
        <v>26</v>
      </c>
      <c r="E257" s="3">
        <v>36596</v>
      </c>
      <c r="F257" t="s">
        <v>126</v>
      </c>
      <c r="G257" t="s">
        <v>98</v>
      </c>
      <c r="H257" s="4">
        <v>3500</v>
      </c>
      <c r="I257" s="4">
        <v>50000</v>
      </c>
      <c r="J257" s="5" t="s">
        <v>45</v>
      </c>
      <c r="K257" s="6">
        <v>40</v>
      </c>
      <c r="L257" t="str" cm="1">
        <f t="array" ref="L257">_xlfn.IFS(K257&gt;=26,"Alto",K257&lt;11,"Baixo",K257&lt;26,"Médio")</f>
        <v>Alto</v>
      </c>
      <c r="M257" t="str">
        <f>IF(AND(Tabela13[[#This Row],[flag_inadimplente]]="Sim",Tabela13[[#This Row],[nivel_risco]]="Alto"),"Negado","Aprovado")</f>
        <v>Aprovado</v>
      </c>
      <c r="N257" t="str">
        <f>IF(AND(Tabela13[[#This Row],[credito_tomado]]&gt;50000,Tabela13[[#This Row],[flag_inadimplente]]="Sim"),"Negado","Aprovado")</f>
        <v>Aprovado</v>
      </c>
      <c r="O257" s="4">
        <f>IF(AND(Tabela13[[#This Row],[analise_risco]]="Negado",Tabela13[[#This Row],[analise_credito]]="Negado"),0,IF(Tabela13[[#This Row],[status]]="Ativo",Tabela13[[#This Row],[valor_solicitado]]*8%,0))</f>
        <v>3720</v>
      </c>
      <c r="P257" s="4">
        <v>46500</v>
      </c>
    </row>
    <row r="258" spans="1:16">
      <c r="A258" t="s">
        <v>71</v>
      </c>
      <c r="B258" t="s">
        <v>580</v>
      </c>
      <c r="C258" s="2" t="s">
        <v>581</v>
      </c>
      <c r="D258" s="24">
        <v>51</v>
      </c>
      <c r="E258" s="3">
        <v>27413</v>
      </c>
      <c r="F258" t="s">
        <v>147</v>
      </c>
      <c r="G258" t="s">
        <v>98</v>
      </c>
      <c r="H258" s="4">
        <v>18500</v>
      </c>
      <c r="I258" s="4">
        <v>69500</v>
      </c>
      <c r="J258" s="5" t="s">
        <v>45</v>
      </c>
      <c r="K258" s="6">
        <v>31</v>
      </c>
      <c r="L258" t="str" cm="1">
        <f t="array" ref="L258">_xlfn.IFS(K258&gt;=26,"Alto",K258&lt;11,"Baixo",K258&lt;26,"Médio")</f>
        <v>Alto</v>
      </c>
      <c r="M258" t="str">
        <f>IF(AND(Tabela13[[#This Row],[flag_inadimplente]]="Sim",Tabela13[[#This Row],[nivel_risco]]="Alto"),"Negado","Aprovado")</f>
        <v>Aprovado</v>
      </c>
      <c r="N258" t="str">
        <f>IF(AND(Tabela13[[#This Row],[credito_tomado]]&gt;50000,Tabela13[[#This Row],[flag_inadimplente]]="Sim"),"Negado","Aprovado")</f>
        <v>Aprovado</v>
      </c>
      <c r="O258" s="4">
        <f>IF(AND(Tabela13[[#This Row],[analise_risco]]="Negado",Tabela13[[#This Row],[analise_credito]]="Negado"),0,IF(Tabela13[[#This Row],[status]]="Ativo",Tabela13[[#This Row],[valor_solicitado]]*8%,0))</f>
        <v>1440</v>
      </c>
      <c r="P258" s="4">
        <v>18000</v>
      </c>
    </row>
    <row r="259" spans="1:16">
      <c r="A259" t="s">
        <v>71</v>
      </c>
      <c r="B259" t="s">
        <v>582</v>
      </c>
      <c r="C259" s="2" t="s">
        <v>583</v>
      </c>
      <c r="D259" s="24">
        <v>19</v>
      </c>
      <c r="E259" s="3">
        <v>39220</v>
      </c>
      <c r="F259" t="s">
        <v>149</v>
      </c>
      <c r="G259" t="s">
        <v>79</v>
      </c>
      <c r="H259" s="4">
        <v>18000</v>
      </c>
      <c r="I259" s="4">
        <v>50500</v>
      </c>
      <c r="J259" s="5" t="s">
        <v>348</v>
      </c>
      <c r="K259" s="6">
        <v>11</v>
      </c>
      <c r="L259" t="str" cm="1">
        <f t="array" ref="L259">_xlfn.IFS(K259&gt;=26,"Alto",K259&lt;11,"Baixo",K259&lt;26,"Médio")</f>
        <v>Médio</v>
      </c>
      <c r="M259" t="str">
        <f>IF(AND(Tabela13[[#This Row],[flag_inadimplente]]="Sim",Tabela13[[#This Row],[nivel_risco]]="Alto"),"Negado","Aprovado")</f>
        <v>Aprovado</v>
      </c>
      <c r="N259" t="str">
        <f>IF(AND(Tabela13[[#This Row],[credito_tomado]]&gt;50000,Tabela13[[#This Row],[flag_inadimplente]]="Sim"),"Negado","Aprovado")</f>
        <v>Negado</v>
      </c>
      <c r="O259" s="4">
        <f>IF(AND(Tabela13[[#This Row],[analise_risco]]="Negado",Tabela13[[#This Row],[analise_credito]]="Negado"),0,IF(Tabela13[[#This Row],[status]]="Ativo",Tabela13[[#This Row],[valor_solicitado]]*8%,0))</f>
        <v>2080</v>
      </c>
      <c r="P259" s="4">
        <v>26000</v>
      </c>
    </row>
    <row r="260" spans="1:16">
      <c r="A260" t="s">
        <v>71</v>
      </c>
      <c r="B260" t="s">
        <v>584</v>
      </c>
      <c r="C260" s="2" t="s">
        <v>585</v>
      </c>
      <c r="D260" s="24">
        <v>24</v>
      </c>
      <c r="E260" s="3">
        <v>37435</v>
      </c>
      <c r="F260" t="s">
        <v>188</v>
      </c>
      <c r="G260" t="s">
        <v>195</v>
      </c>
      <c r="H260" s="4">
        <v>6100</v>
      </c>
      <c r="I260" s="4">
        <v>0</v>
      </c>
      <c r="J260" s="5" t="s">
        <v>45</v>
      </c>
      <c r="K260" s="6">
        <v>15</v>
      </c>
      <c r="L260" t="str" cm="1">
        <f t="array" ref="L260">_xlfn.IFS(K260&gt;=26,"Alto",K260&lt;11,"Baixo",K260&lt;26,"Médio")</f>
        <v>Médio</v>
      </c>
      <c r="M260" t="str">
        <f>IF(AND(Tabela13[[#This Row],[flag_inadimplente]]="Sim",Tabela13[[#This Row],[nivel_risco]]="Alto"),"Negado","Aprovado")</f>
        <v>Aprovado</v>
      </c>
      <c r="N260" t="str">
        <f>IF(AND(Tabela13[[#This Row],[credito_tomado]]&gt;50000,Tabela13[[#This Row],[flag_inadimplente]]="Sim"),"Negado","Aprovado")</f>
        <v>Aprovado</v>
      </c>
      <c r="O260" s="4">
        <f>IF(AND(Tabela13[[#This Row],[analise_risco]]="Negado",Tabela13[[#This Row],[analise_credito]]="Negado"),0,IF(Tabela13[[#This Row],[status]]="Ativo",Tabela13[[#This Row],[valor_solicitado]]*8%,0))</f>
        <v>5360</v>
      </c>
      <c r="P260" s="4">
        <v>67000</v>
      </c>
    </row>
    <row r="261" spans="1:16">
      <c r="A261" t="s">
        <v>71</v>
      </c>
      <c r="B261" t="s">
        <v>586</v>
      </c>
      <c r="C261" s="2" t="s">
        <v>587</v>
      </c>
      <c r="D261" s="24">
        <v>60</v>
      </c>
      <c r="E261" s="3">
        <v>24202</v>
      </c>
      <c r="F261" t="s">
        <v>93</v>
      </c>
      <c r="G261" t="s">
        <v>94</v>
      </c>
      <c r="H261" s="4">
        <v>5500</v>
      </c>
      <c r="I261" s="4">
        <v>0</v>
      </c>
      <c r="J261" s="5" t="s">
        <v>45</v>
      </c>
      <c r="K261" s="6">
        <v>26</v>
      </c>
      <c r="L261" t="str" cm="1">
        <f t="array" ref="L261">_xlfn.IFS(K261&gt;=26,"Alto",K261&lt;11,"Baixo",K261&lt;26,"Médio")</f>
        <v>Alto</v>
      </c>
      <c r="M261" t="str">
        <f>IF(AND(Tabela13[[#This Row],[flag_inadimplente]]="Sim",Tabela13[[#This Row],[nivel_risco]]="Alto"),"Negado","Aprovado")</f>
        <v>Aprovado</v>
      </c>
      <c r="N261" t="str">
        <f>IF(AND(Tabela13[[#This Row],[credito_tomado]]&gt;50000,Tabela13[[#This Row],[flag_inadimplente]]="Sim"),"Negado","Aprovado")</f>
        <v>Aprovado</v>
      </c>
      <c r="O261" s="4">
        <f>IF(AND(Tabela13[[#This Row],[analise_risco]]="Negado",Tabela13[[#This Row],[analise_credito]]="Negado"),0,IF(Tabela13[[#This Row],[status]]="Ativo",Tabela13[[#This Row],[valor_solicitado]]*8%,0))</f>
        <v>4200</v>
      </c>
      <c r="P261" s="4">
        <v>52500</v>
      </c>
    </row>
    <row r="262" spans="1:16">
      <c r="A262" t="s">
        <v>71</v>
      </c>
      <c r="B262" t="s">
        <v>588</v>
      </c>
      <c r="C262" s="2" t="s">
        <v>589</v>
      </c>
      <c r="D262" s="24" t="s">
        <v>80</v>
      </c>
      <c r="E262" s="3">
        <v>33473</v>
      </c>
      <c r="F262" t="s">
        <v>188</v>
      </c>
      <c r="G262" t="s">
        <v>195</v>
      </c>
      <c r="H262" s="4">
        <v>24000</v>
      </c>
      <c r="I262" s="4">
        <v>0</v>
      </c>
      <c r="J262" s="5" t="s">
        <v>46</v>
      </c>
      <c r="K262" s="6">
        <v>3</v>
      </c>
      <c r="L262" t="str" cm="1">
        <f t="array" ref="L262">_xlfn.IFS(K262&gt;=26,"Alto",K262&lt;11,"Baixo",K262&lt;26,"Médio")</f>
        <v>Baixo</v>
      </c>
      <c r="M262" t="str">
        <f>IF(AND(Tabela13[[#This Row],[flag_inadimplente]]="Sim",Tabela13[[#This Row],[nivel_risco]]="Alto"),"Negado","Aprovado")</f>
        <v>Aprovado</v>
      </c>
      <c r="N262" t="str">
        <f>IF(AND(Tabela13[[#This Row],[credito_tomado]]&gt;50000,Tabela13[[#This Row],[flag_inadimplente]]="Sim"),"Negado","Aprovado")</f>
        <v>Aprovado</v>
      </c>
      <c r="O262" s="4">
        <f>IF(AND(Tabela13[[#This Row],[analise_risco]]="Negado",Tabela13[[#This Row],[analise_credito]]="Negado"),0,IF(Tabela13[[#This Row],[status]]="Ativo",Tabela13[[#This Row],[valor_solicitado]]*8%,0))</f>
        <v>4800</v>
      </c>
      <c r="P262" s="4">
        <v>60000</v>
      </c>
    </row>
    <row r="263" spans="1:16">
      <c r="A263" t="s">
        <v>71</v>
      </c>
      <c r="B263" t="s">
        <v>588</v>
      </c>
      <c r="C263" s="2" t="s">
        <v>590</v>
      </c>
      <c r="D263" s="24">
        <v>74</v>
      </c>
      <c r="E263" s="3">
        <v>19121</v>
      </c>
      <c r="F263" t="s">
        <v>97</v>
      </c>
      <c r="G263" t="s">
        <v>98</v>
      </c>
      <c r="H263" s="4">
        <v>7300</v>
      </c>
      <c r="I263" s="4">
        <v>1000</v>
      </c>
      <c r="J263" s="5" t="s">
        <v>45</v>
      </c>
      <c r="K263" s="6">
        <v>3</v>
      </c>
      <c r="L263" t="str" cm="1">
        <f t="array" ref="L263">_xlfn.IFS(K263&gt;=26,"Alto",K263&lt;11,"Baixo",K263&lt;26,"Médio")</f>
        <v>Baixo</v>
      </c>
      <c r="M263" t="str">
        <f>IF(AND(Tabela13[[#This Row],[flag_inadimplente]]="Sim",Tabela13[[#This Row],[nivel_risco]]="Alto"),"Negado","Aprovado")</f>
        <v>Aprovado</v>
      </c>
      <c r="N263" t="str">
        <f>IF(AND(Tabela13[[#This Row],[credito_tomado]]&gt;50000,Tabela13[[#This Row],[flag_inadimplente]]="Sim"),"Negado","Aprovado")</f>
        <v>Aprovado</v>
      </c>
      <c r="O263" s="4">
        <f>IF(AND(Tabela13[[#This Row],[analise_risco]]="Negado",Tabela13[[#This Row],[analise_credito]]="Negado"),0,IF(Tabela13[[#This Row],[status]]="Ativo",Tabela13[[#This Row],[valor_solicitado]]*8%,0))</f>
        <v>4040</v>
      </c>
      <c r="P263" s="4">
        <v>50500</v>
      </c>
    </row>
    <row r="264" spans="1:16">
      <c r="A264" t="s">
        <v>71</v>
      </c>
      <c r="B264" t="s">
        <v>588</v>
      </c>
      <c r="C264" s="2" t="s">
        <v>591</v>
      </c>
      <c r="D264" s="24">
        <v>26</v>
      </c>
      <c r="E264" s="3">
        <v>36573</v>
      </c>
      <c r="F264" t="s">
        <v>97</v>
      </c>
      <c r="G264" t="s">
        <v>98</v>
      </c>
      <c r="H264" s="4">
        <v>4800</v>
      </c>
      <c r="I264" s="4">
        <v>48500</v>
      </c>
      <c r="J264" s="5" t="s">
        <v>46</v>
      </c>
      <c r="K264" s="6">
        <v>6</v>
      </c>
      <c r="L264" t="str" cm="1">
        <f t="array" ref="L264">_xlfn.IFS(K264&gt;=26,"Alto",K264&lt;11,"Baixo",K264&lt;26,"Médio")</f>
        <v>Baixo</v>
      </c>
      <c r="M264" t="str">
        <f>IF(AND(Tabela13[[#This Row],[flag_inadimplente]]="Sim",Tabela13[[#This Row],[nivel_risco]]="Alto"),"Negado","Aprovado")</f>
        <v>Aprovado</v>
      </c>
      <c r="N264" t="str">
        <f>IF(AND(Tabela13[[#This Row],[credito_tomado]]&gt;50000,Tabela13[[#This Row],[flag_inadimplente]]="Sim"),"Negado","Aprovado")</f>
        <v>Aprovado</v>
      </c>
      <c r="O264" s="4">
        <f>IF(AND(Tabela13[[#This Row],[analise_risco]]="Negado",Tabela13[[#This Row],[analise_credito]]="Negado"),0,IF(Tabela13[[#This Row],[status]]="Ativo",Tabela13[[#This Row],[valor_solicitado]]*8%,0))</f>
        <v>4520</v>
      </c>
      <c r="P264" s="4">
        <v>56500</v>
      </c>
    </row>
    <row r="265" spans="1:16">
      <c r="A265" t="s">
        <v>71</v>
      </c>
      <c r="B265" t="s">
        <v>592</v>
      </c>
      <c r="C265" s="2" t="s">
        <v>593</v>
      </c>
      <c r="D265" s="24">
        <v>53</v>
      </c>
      <c r="E265" s="3">
        <v>26898</v>
      </c>
      <c r="F265" t="s">
        <v>147</v>
      </c>
      <c r="G265" t="s">
        <v>98</v>
      </c>
      <c r="H265" s="4">
        <v>27100</v>
      </c>
      <c r="I265" s="4">
        <v>68000</v>
      </c>
      <c r="J265" s="5" t="s">
        <v>45</v>
      </c>
      <c r="K265" s="6">
        <v>40</v>
      </c>
      <c r="L265" t="str" cm="1">
        <f t="array" ref="L265">_xlfn.IFS(K265&gt;=26,"Alto",K265&lt;11,"Baixo",K265&lt;26,"Médio")</f>
        <v>Alto</v>
      </c>
      <c r="M265" t="str">
        <f>IF(AND(Tabela13[[#This Row],[flag_inadimplente]]="Sim",Tabela13[[#This Row],[nivel_risco]]="Alto"),"Negado","Aprovado")</f>
        <v>Aprovado</v>
      </c>
      <c r="N265" t="str">
        <f>IF(AND(Tabela13[[#This Row],[credito_tomado]]&gt;50000,Tabela13[[#This Row],[flag_inadimplente]]="Sim"),"Negado","Aprovado")</f>
        <v>Aprovado</v>
      </c>
      <c r="O265" s="4">
        <f>IF(AND(Tabela13[[#This Row],[analise_risco]]="Negado",Tabela13[[#This Row],[analise_credito]]="Negado"),0,IF(Tabela13[[#This Row],[status]]="Ativo",Tabela13[[#This Row],[valor_solicitado]]*8%,0))</f>
        <v>3960</v>
      </c>
      <c r="P265" s="4">
        <v>49500</v>
      </c>
    </row>
    <row r="266" spans="1:16">
      <c r="A266" t="s">
        <v>71</v>
      </c>
      <c r="B266" t="s">
        <v>594</v>
      </c>
      <c r="C266" s="2" t="s">
        <v>595</v>
      </c>
      <c r="D266" s="24">
        <v>73</v>
      </c>
      <c r="E266" s="3">
        <v>19588</v>
      </c>
      <c r="F266" t="s">
        <v>147</v>
      </c>
      <c r="G266" t="s">
        <v>98</v>
      </c>
      <c r="H266" s="4">
        <v>28600</v>
      </c>
      <c r="I266" s="4">
        <v>40500</v>
      </c>
      <c r="J266" s="5" t="s">
        <v>45</v>
      </c>
      <c r="K266" s="6">
        <v>20</v>
      </c>
      <c r="L266" t="str" cm="1">
        <f t="array" ref="L266">_xlfn.IFS(K266&gt;=26,"Alto",K266&lt;11,"Baixo",K266&lt;26,"Médio")</f>
        <v>Médio</v>
      </c>
      <c r="M266" t="str">
        <f>IF(AND(Tabela13[[#This Row],[flag_inadimplente]]="Sim",Tabela13[[#This Row],[nivel_risco]]="Alto"),"Negado","Aprovado")</f>
        <v>Aprovado</v>
      </c>
      <c r="N266" t="str">
        <f>IF(AND(Tabela13[[#This Row],[credito_tomado]]&gt;50000,Tabela13[[#This Row],[flag_inadimplente]]="Sim"),"Negado","Aprovado")</f>
        <v>Aprovado</v>
      </c>
      <c r="O266" s="4">
        <f>IF(AND(Tabela13[[#This Row],[analise_risco]]="Negado",Tabela13[[#This Row],[analise_credito]]="Negado"),0,IF(Tabela13[[#This Row],[status]]="Ativo",Tabela13[[#This Row],[valor_solicitado]]*8%,0))</f>
        <v>200</v>
      </c>
      <c r="P266" s="4">
        <v>2500</v>
      </c>
    </row>
    <row r="267" spans="1:16">
      <c r="A267" t="s">
        <v>71</v>
      </c>
      <c r="B267" t="s">
        <v>596</v>
      </c>
      <c r="C267" s="2" t="s">
        <v>597</v>
      </c>
      <c r="D267" s="24">
        <v>19</v>
      </c>
      <c r="E267" s="3">
        <v>39003</v>
      </c>
      <c r="F267" t="s">
        <v>126</v>
      </c>
      <c r="G267" t="s">
        <v>98</v>
      </c>
      <c r="H267" s="4">
        <v>4000</v>
      </c>
      <c r="I267" s="4">
        <v>29500</v>
      </c>
      <c r="J267" s="5" t="s">
        <v>46</v>
      </c>
      <c r="K267" s="6">
        <v>13</v>
      </c>
      <c r="L267" t="str" cm="1">
        <f t="array" ref="L267">_xlfn.IFS(K267&gt;=26,"Alto",K267&lt;11,"Baixo",K267&lt;26,"Médio")</f>
        <v>Médio</v>
      </c>
      <c r="M267" t="str">
        <f>IF(AND(Tabela13[[#This Row],[flag_inadimplente]]="Sim",Tabela13[[#This Row],[nivel_risco]]="Alto"),"Negado","Aprovado")</f>
        <v>Aprovado</v>
      </c>
      <c r="N267" t="str">
        <f>IF(AND(Tabela13[[#This Row],[credito_tomado]]&gt;50000,Tabela13[[#This Row],[flag_inadimplente]]="Sim"),"Negado","Aprovado")</f>
        <v>Aprovado</v>
      </c>
      <c r="O267" s="4">
        <f>IF(AND(Tabela13[[#This Row],[analise_risco]]="Negado",Tabela13[[#This Row],[analise_credito]]="Negado"),0,IF(Tabela13[[#This Row],[status]]="Ativo",Tabela13[[#This Row],[valor_solicitado]]*8%,0))</f>
        <v>400</v>
      </c>
      <c r="P267" s="4">
        <v>5000</v>
      </c>
    </row>
    <row r="268" spans="1:16">
      <c r="A268" t="s">
        <v>71</v>
      </c>
      <c r="B268" t="s">
        <v>598</v>
      </c>
      <c r="C268" s="2" t="s">
        <v>599</v>
      </c>
      <c r="D268" s="24">
        <v>54</v>
      </c>
      <c r="E268" s="3">
        <v>26382</v>
      </c>
      <c r="F268" t="s">
        <v>216</v>
      </c>
      <c r="G268" t="s">
        <v>94</v>
      </c>
      <c r="H268" s="4">
        <v>22100</v>
      </c>
      <c r="I268" s="4">
        <v>37000</v>
      </c>
      <c r="J268" s="5" t="s">
        <v>45</v>
      </c>
      <c r="K268" s="6">
        <v>34</v>
      </c>
      <c r="L268" t="str" cm="1">
        <f t="array" ref="L268">_xlfn.IFS(K268&gt;=26,"Alto",K268&lt;11,"Baixo",K268&lt;26,"Médio")</f>
        <v>Alto</v>
      </c>
      <c r="M268" t="str">
        <f>IF(AND(Tabela13[[#This Row],[flag_inadimplente]]="Sim",Tabela13[[#This Row],[nivel_risco]]="Alto"),"Negado","Aprovado")</f>
        <v>Aprovado</v>
      </c>
      <c r="N268" t="str">
        <f>IF(AND(Tabela13[[#This Row],[credito_tomado]]&gt;50000,Tabela13[[#This Row],[flag_inadimplente]]="Sim"),"Negado","Aprovado")</f>
        <v>Aprovado</v>
      </c>
      <c r="O268" s="4">
        <f>IF(AND(Tabela13[[#This Row],[analise_risco]]="Negado",Tabela13[[#This Row],[analise_credito]]="Negado"),0,IF(Tabela13[[#This Row],[status]]="Ativo",Tabela13[[#This Row],[valor_solicitado]]*8%,0))</f>
        <v>6960</v>
      </c>
      <c r="P268" s="4">
        <v>87000</v>
      </c>
    </row>
    <row r="269" spans="1:16">
      <c r="A269" t="s">
        <v>71</v>
      </c>
      <c r="B269" t="s">
        <v>600</v>
      </c>
      <c r="C269" s="2" t="s">
        <v>601</v>
      </c>
      <c r="D269" s="24">
        <v>18</v>
      </c>
      <c r="E269" s="3">
        <v>39338</v>
      </c>
      <c r="F269" t="s">
        <v>147</v>
      </c>
      <c r="G269" t="s">
        <v>98</v>
      </c>
      <c r="H269" s="4">
        <v>14100</v>
      </c>
      <c r="I269" s="4">
        <v>38500</v>
      </c>
      <c r="J269" s="5" t="s">
        <v>45</v>
      </c>
      <c r="K269" s="6">
        <v>7</v>
      </c>
      <c r="L269" t="str" cm="1">
        <f t="array" ref="L269">_xlfn.IFS(K269&gt;=26,"Alto",K269&lt;11,"Baixo",K269&lt;26,"Médio")</f>
        <v>Baixo</v>
      </c>
      <c r="M269" t="str">
        <f>IF(AND(Tabela13[[#This Row],[flag_inadimplente]]="Sim",Tabela13[[#This Row],[nivel_risco]]="Alto"),"Negado","Aprovado")</f>
        <v>Aprovado</v>
      </c>
      <c r="N269" t="str">
        <f>IF(AND(Tabela13[[#This Row],[credito_tomado]]&gt;50000,Tabela13[[#This Row],[flag_inadimplente]]="Sim"),"Negado","Aprovado")</f>
        <v>Aprovado</v>
      </c>
      <c r="O269" s="4">
        <f>IF(AND(Tabela13[[#This Row],[analise_risco]]="Negado",Tabela13[[#This Row],[analise_credito]]="Negado"),0,IF(Tabela13[[#This Row],[status]]="Ativo",Tabela13[[#This Row],[valor_solicitado]]*8%,0))</f>
        <v>880</v>
      </c>
      <c r="P269" s="4">
        <v>11000</v>
      </c>
    </row>
    <row r="270" spans="1:16">
      <c r="A270" t="s">
        <v>71</v>
      </c>
      <c r="B270" t="s">
        <v>602</v>
      </c>
      <c r="C270" s="2" t="s">
        <v>603</v>
      </c>
      <c r="D270" s="24">
        <v>25</v>
      </c>
      <c r="E270" s="3">
        <v>37056</v>
      </c>
      <c r="F270" t="s">
        <v>147</v>
      </c>
      <c r="G270" t="s">
        <v>98</v>
      </c>
      <c r="H270" s="4">
        <v>25400</v>
      </c>
      <c r="I270" s="4">
        <v>4000</v>
      </c>
      <c r="J270" s="5" t="s">
        <v>45</v>
      </c>
      <c r="K270" s="6">
        <v>4</v>
      </c>
      <c r="L270" t="str" cm="1">
        <f t="array" ref="L270">_xlfn.IFS(K270&gt;=26,"Alto",K270&lt;11,"Baixo",K270&lt;26,"Médio")</f>
        <v>Baixo</v>
      </c>
      <c r="M270" t="str">
        <f>IF(AND(Tabela13[[#This Row],[flag_inadimplente]]="Sim",Tabela13[[#This Row],[nivel_risco]]="Alto"),"Negado","Aprovado")</f>
        <v>Aprovado</v>
      </c>
      <c r="N270" t="str">
        <f>IF(AND(Tabela13[[#This Row],[credito_tomado]]&gt;50000,Tabela13[[#This Row],[flag_inadimplente]]="Sim"),"Negado","Aprovado")</f>
        <v>Aprovado</v>
      </c>
      <c r="O270" s="4">
        <f>IF(AND(Tabela13[[#This Row],[analise_risco]]="Negado",Tabela13[[#This Row],[analise_credito]]="Negado"),0,IF(Tabela13[[#This Row],[status]]="Ativo",Tabela13[[#This Row],[valor_solicitado]]*8%,0))</f>
        <v>680</v>
      </c>
      <c r="P270" s="4">
        <v>8500</v>
      </c>
    </row>
    <row r="271" spans="1:16">
      <c r="A271" t="s">
        <v>71</v>
      </c>
      <c r="B271" t="s">
        <v>604</v>
      </c>
      <c r="C271" s="2" t="s">
        <v>605</v>
      </c>
      <c r="D271" s="24" t="s">
        <v>80</v>
      </c>
      <c r="E271" s="3">
        <v>35600</v>
      </c>
      <c r="F271" t="s">
        <v>198</v>
      </c>
      <c r="G271" t="s">
        <v>84</v>
      </c>
      <c r="H271" s="4">
        <v>9600</v>
      </c>
      <c r="I271" s="4">
        <v>41000</v>
      </c>
      <c r="J271" s="5" t="s">
        <v>45</v>
      </c>
      <c r="K271" s="6">
        <v>27</v>
      </c>
      <c r="L271" t="str" cm="1">
        <f t="array" ref="L271">_xlfn.IFS(K271&gt;=26,"Alto",K271&lt;11,"Baixo",K271&lt;26,"Médio")</f>
        <v>Alto</v>
      </c>
      <c r="M271" t="str">
        <f>IF(AND(Tabela13[[#This Row],[flag_inadimplente]]="Sim",Tabela13[[#This Row],[nivel_risco]]="Alto"),"Negado","Aprovado")</f>
        <v>Aprovado</v>
      </c>
      <c r="N271" t="str">
        <f>IF(AND(Tabela13[[#This Row],[credito_tomado]]&gt;50000,Tabela13[[#This Row],[flag_inadimplente]]="Sim"),"Negado","Aprovado")</f>
        <v>Aprovado</v>
      </c>
      <c r="O271" s="4">
        <f>IF(AND(Tabela13[[#This Row],[analise_risco]]="Negado",Tabela13[[#This Row],[analise_credito]]="Negado"),0,IF(Tabela13[[#This Row],[status]]="Ativo",Tabela13[[#This Row],[valor_solicitado]]*8%,0))</f>
        <v>2000</v>
      </c>
      <c r="P271" s="4">
        <v>25000</v>
      </c>
    </row>
    <row r="272" spans="1:16">
      <c r="A272" t="s">
        <v>71</v>
      </c>
      <c r="B272" t="s">
        <v>606</v>
      </c>
      <c r="C272" s="2" t="s">
        <v>607</v>
      </c>
      <c r="D272" s="24">
        <v>65</v>
      </c>
      <c r="E272" s="3">
        <v>22505</v>
      </c>
      <c r="F272" t="s">
        <v>126</v>
      </c>
      <c r="G272" t="s">
        <v>98</v>
      </c>
      <c r="H272" s="4">
        <v>29000</v>
      </c>
      <c r="I272" s="4">
        <v>28500</v>
      </c>
      <c r="J272" s="5" t="s">
        <v>45</v>
      </c>
      <c r="K272" s="6">
        <v>28</v>
      </c>
      <c r="L272" t="str" cm="1">
        <f t="array" ref="L272">_xlfn.IFS(K272&gt;=26,"Alto",K272&lt;11,"Baixo",K272&lt;26,"Médio")</f>
        <v>Alto</v>
      </c>
      <c r="M272" t="str">
        <f>IF(AND(Tabela13[[#This Row],[flag_inadimplente]]="Sim",Tabela13[[#This Row],[nivel_risco]]="Alto"),"Negado","Aprovado")</f>
        <v>Aprovado</v>
      </c>
      <c r="N272" t="str">
        <f>IF(AND(Tabela13[[#This Row],[credito_tomado]]&gt;50000,Tabela13[[#This Row],[flag_inadimplente]]="Sim"),"Negado","Aprovado")</f>
        <v>Aprovado</v>
      </c>
      <c r="O272" s="4">
        <f>IF(AND(Tabela13[[#This Row],[analise_risco]]="Negado",Tabela13[[#This Row],[analise_credito]]="Negado"),0,IF(Tabela13[[#This Row],[status]]="Ativo",Tabela13[[#This Row],[valor_solicitado]]*8%,0))</f>
        <v>4600</v>
      </c>
      <c r="P272" s="4">
        <v>57500</v>
      </c>
    </row>
    <row r="273" spans="1:16">
      <c r="A273" t="s">
        <v>71</v>
      </c>
      <c r="B273" t="s">
        <v>608</v>
      </c>
      <c r="C273" s="2" t="s">
        <v>609</v>
      </c>
      <c r="D273" s="24">
        <v>48</v>
      </c>
      <c r="E273" s="3">
        <v>28509</v>
      </c>
      <c r="F273" t="s">
        <v>198</v>
      </c>
      <c r="G273" t="s">
        <v>84</v>
      </c>
      <c r="H273" s="4">
        <v>17800</v>
      </c>
      <c r="I273" s="4">
        <v>9000</v>
      </c>
      <c r="J273" s="5" t="s">
        <v>45</v>
      </c>
      <c r="K273" s="6">
        <v>28</v>
      </c>
      <c r="L273" t="str" cm="1">
        <f t="array" ref="L273">_xlfn.IFS(K273&gt;=26,"Alto",K273&lt;11,"Baixo",K273&lt;26,"Médio")</f>
        <v>Alto</v>
      </c>
      <c r="M273" t="str">
        <f>IF(AND(Tabela13[[#This Row],[flag_inadimplente]]="Sim",Tabela13[[#This Row],[nivel_risco]]="Alto"),"Negado","Aprovado")</f>
        <v>Aprovado</v>
      </c>
      <c r="N273" t="str">
        <f>IF(AND(Tabela13[[#This Row],[credito_tomado]]&gt;50000,Tabela13[[#This Row],[flag_inadimplente]]="Sim"),"Negado","Aprovado")</f>
        <v>Aprovado</v>
      </c>
      <c r="O273" s="4">
        <f>IF(AND(Tabela13[[#This Row],[analise_risco]]="Negado",Tabela13[[#This Row],[analise_credito]]="Negado"),0,IF(Tabela13[[#This Row],[status]]="Ativo",Tabela13[[#This Row],[valor_solicitado]]*8%,0))</f>
        <v>6400</v>
      </c>
      <c r="P273" s="4">
        <v>80000</v>
      </c>
    </row>
    <row r="274" spans="1:16">
      <c r="A274" t="s">
        <v>71</v>
      </c>
      <c r="B274" t="s">
        <v>610</v>
      </c>
      <c r="C274" s="2" t="s">
        <v>611</v>
      </c>
      <c r="D274" s="24" t="s">
        <v>612</v>
      </c>
      <c r="E274" s="3">
        <v>31115</v>
      </c>
      <c r="F274" t="s">
        <v>97</v>
      </c>
      <c r="G274" t="s">
        <v>98</v>
      </c>
      <c r="H274" s="4">
        <v>23100</v>
      </c>
      <c r="I274" s="4">
        <v>36000</v>
      </c>
      <c r="J274" s="5" t="s">
        <v>45</v>
      </c>
      <c r="K274" s="6">
        <v>0</v>
      </c>
      <c r="L274" t="str" cm="1">
        <f t="array" ref="L274">_xlfn.IFS(K274&gt;=26,"Alto",K274&lt;11,"Baixo",K274&lt;26,"Médio")</f>
        <v>Baixo</v>
      </c>
      <c r="M274" t="str">
        <f>IF(AND(Tabela13[[#This Row],[flag_inadimplente]]="Sim",Tabela13[[#This Row],[nivel_risco]]="Alto"),"Negado","Aprovado")</f>
        <v>Aprovado</v>
      </c>
      <c r="N274" t="str">
        <f>IF(AND(Tabela13[[#This Row],[credito_tomado]]&gt;50000,Tabela13[[#This Row],[flag_inadimplente]]="Sim"),"Negado","Aprovado")</f>
        <v>Aprovado</v>
      </c>
      <c r="O274" s="4">
        <f>IF(AND(Tabela13[[#This Row],[analise_risco]]="Negado",Tabela13[[#This Row],[analise_credito]]="Negado"),0,IF(Tabela13[[#This Row],[status]]="Ativo",Tabela13[[#This Row],[valor_solicitado]]*8%,0))</f>
        <v>3000</v>
      </c>
      <c r="P274" s="4">
        <v>37500</v>
      </c>
    </row>
    <row r="275" spans="1:16">
      <c r="A275" t="s">
        <v>71</v>
      </c>
      <c r="B275" t="s">
        <v>610</v>
      </c>
      <c r="C275" s="2" t="s">
        <v>613</v>
      </c>
      <c r="D275" s="24">
        <v>73</v>
      </c>
      <c r="E275" s="3">
        <v>19363</v>
      </c>
      <c r="F275" t="s">
        <v>78</v>
      </c>
      <c r="G275" t="s">
        <v>79</v>
      </c>
      <c r="H275" s="4">
        <v>23000</v>
      </c>
      <c r="I275" s="4">
        <v>19000</v>
      </c>
      <c r="J275" s="5" t="s">
        <v>45</v>
      </c>
      <c r="K275" s="6">
        <v>19</v>
      </c>
      <c r="L275" t="str" cm="1">
        <f t="array" ref="L275">_xlfn.IFS(K275&gt;=26,"Alto",K275&lt;11,"Baixo",K275&lt;26,"Médio")</f>
        <v>Médio</v>
      </c>
      <c r="M275" t="str">
        <f>IF(AND(Tabela13[[#This Row],[flag_inadimplente]]="Sim",Tabela13[[#This Row],[nivel_risco]]="Alto"),"Negado","Aprovado")</f>
        <v>Aprovado</v>
      </c>
      <c r="N275" t="str">
        <f>IF(AND(Tabela13[[#This Row],[credito_tomado]]&gt;50000,Tabela13[[#This Row],[flag_inadimplente]]="Sim"),"Negado","Aprovado")</f>
        <v>Aprovado</v>
      </c>
      <c r="O275" s="4">
        <f>IF(AND(Tabela13[[#This Row],[analise_risco]]="Negado",Tabela13[[#This Row],[analise_credito]]="Negado"),0,IF(Tabela13[[#This Row],[status]]="Ativo",Tabela13[[#This Row],[valor_solicitado]]*8%,0))</f>
        <v>1360</v>
      </c>
      <c r="P275" s="4">
        <v>17000</v>
      </c>
    </row>
    <row r="276" spans="1:16">
      <c r="A276" t="s">
        <v>71</v>
      </c>
      <c r="B276" t="s">
        <v>614</v>
      </c>
      <c r="C276" s="2" t="s">
        <v>615</v>
      </c>
      <c r="D276" s="24" t="s">
        <v>80</v>
      </c>
      <c r="E276" s="3">
        <v>21378</v>
      </c>
      <c r="F276" t="s">
        <v>74</v>
      </c>
      <c r="G276" s="7" t="s">
        <v>80</v>
      </c>
      <c r="H276" s="4">
        <v>14300</v>
      </c>
      <c r="I276" s="4">
        <v>32500</v>
      </c>
      <c r="J276" s="5" t="s">
        <v>46</v>
      </c>
      <c r="K276" s="6">
        <v>15</v>
      </c>
      <c r="L276" t="str" cm="1">
        <f t="array" ref="L276">_xlfn.IFS(K276&gt;=26,"Alto",K276&lt;11,"Baixo",K276&lt;26,"Médio")</f>
        <v>Médio</v>
      </c>
      <c r="M276" t="str">
        <f>IF(AND(Tabela13[[#This Row],[flag_inadimplente]]="Sim",Tabela13[[#This Row],[nivel_risco]]="Alto"),"Negado","Aprovado")</f>
        <v>Aprovado</v>
      </c>
      <c r="N276" t="str">
        <f>IF(AND(Tabela13[[#This Row],[credito_tomado]]&gt;50000,Tabela13[[#This Row],[flag_inadimplente]]="Sim"),"Negado","Aprovado")</f>
        <v>Aprovado</v>
      </c>
      <c r="O276" s="4">
        <f>IF(AND(Tabela13[[#This Row],[analise_risco]]="Negado",Tabela13[[#This Row],[analise_credito]]="Negado"),0,IF(Tabela13[[#This Row],[status]]="Ativo",Tabela13[[#This Row],[valor_solicitado]]*8%,0))</f>
        <v>640</v>
      </c>
      <c r="P276" s="4">
        <v>8000</v>
      </c>
    </row>
    <row r="277" spans="1:16">
      <c r="A277" t="s">
        <v>85</v>
      </c>
      <c r="B277" t="s">
        <v>616</v>
      </c>
      <c r="C277" s="2" t="s">
        <v>617</v>
      </c>
      <c r="D277" s="24">
        <v>57</v>
      </c>
      <c r="E277" s="3">
        <v>25369</v>
      </c>
      <c r="F277" t="s">
        <v>115</v>
      </c>
      <c r="G277" t="s">
        <v>75</v>
      </c>
      <c r="H277" s="4">
        <v>28600</v>
      </c>
      <c r="I277" s="4">
        <v>73500</v>
      </c>
      <c r="J277" s="5" t="s">
        <v>45</v>
      </c>
      <c r="K277" s="6">
        <v>9</v>
      </c>
      <c r="L277" t="str" cm="1">
        <f t="array" ref="L277">_xlfn.IFS(K277&gt;=26,"Alto",K277&lt;11,"Baixo",K277&lt;26,"Médio")</f>
        <v>Baixo</v>
      </c>
      <c r="M277" t="str">
        <f>IF(AND(Tabela13[[#This Row],[flag_inadimplente]]="Sim",Tabela13[[#This Row],[nivel_risco]]="Alto"),"Negado","Aprovado")</f>
        <v>Aprovado</v>
      </c>
      <c r="N277" t="str">
        <f>IF(AND(Tabela13[[#This Row],[credito_tomado]]&gt;50000,Tabela13[[#This Row],[flag_inadimplente]]="Sim"),"Negado","Aprovado")</f>
        <v>Aprovado</v>
      </c>
      <c r="O277" s="4">
        <f>IF(AND(Tabela13[[#This Row],[analise_risco]]="Negado",Tabela13[[#This Row],[analise_credito]]="Negado"),0,IF(Tabela13[[#This Row],[status]]="Ativo",Tabela13[[#This Row],[valor_solicitado]]*8%,0))</f>
        <v>0</v>
      </c>
      <c r="P277" s="4">
        <v>93500</v>
      </c>
    </row>
    <row r="278" spans="1:16">
      <c r="A278" t="s">
        <v>71</v>
      </c>
      <c r="B278" t="s">
        <v>616</v>
      </c>
      <c r="C278" s="2" t="s">
        <v>618</v>
      </c>
      <c r="D278" s="24">
        <v>25</v>
      </c>
      <c r="E278" s="3">
        <v>36824</v>
      </c>
      <c r="F278" t="s">
        <v>97</v>
      </c>
      <c r="G278" t="s">
        <v>98</v>
      </c>
      <c r="H278" s="4">
        <v>18300</v>
      </c>
      <c r="I278" s="4">
        <v>41000</v>
      </c>
      <c r="J278" s="5" t="s">
        <v>45</v>
      </c>
      <c r="K278" s="6">
        <v>29</v>
      </c>
      <c r="L278" t="str" cm="1">
        <f t="array" ref="L278">_xlfn.IFS(K278&gt;=26,"Alto",K278&lt;11,"Baixo",K278&lt;26,"Médio")</f>
        <v>Alto</v>
      </c>
      <c r="M278" t="str">
        <f>IF(AND(Tabela13[[#This Row],[flag_inadimplente]]="Sim",Tabela13[[#This Row],[nivel_risco]]="Alto"),"Negado","Aprovado")</f>
        <v>Aprovado</v>
      </c>
      <c r="N278" t="str">
        <f>IF(AND(Tabela13[[#This Row],[credito_tomado]]&gt;50000,Tabela13[[#This Row],[flag_inadimplente]]="Sim"),"Negado","Aprovado")</f>
        <v>Aprovado</v>
      </c>
      <c r="O278" s="4">
        <f>IF(AND(Tabela13[[#This Row],[analise_risco]]="Negado",Tabela13[[#This Row],[analise_credito]]="Negado"),0,IF(Tabela13[[#This Row],[status]]="Ativo",Tabela13[[#This Row],[valor_solicitado]]*8%,0))</f>
        <v>2600</v>
      </c>
      <c r="P278" s="4">
        <v>32500</v>
      </c>
    </row>
    <row r="279" spans="1:16">
      <c r="A279" t="s">
        <v>85</v>
      </c>
      <c r="B279" t="s">
        <v>619</v>
      </c>
      <c r="C279" s="2" t="s">
        <v>620</v>
      </c>
      <c r="D279" s="24">
        <v>53</v>
      </c>
      <c r="E279" s="3">
        <v>26744</v>
      </c>
      <c r="F279" t="s">
        <v>101</v>
      </c>
      <c r="G279" t="s">
        <v>102</v>
      </c>
      <c r="H279" s="4">
        <v>26400</v>
      </c>
      <c r="I279" s="4">
        <v>9500</v>
      </c>
      <c r="J279" s="5" t="s">
        <v>45</v>
      </c>
      <c r="K279" s="6">
        <v>21</v>
      </c>
      <c r="L279" t="str" cm="1">
        <f t="array" ref="L279">_xlfn.IFS(K279&gt;=26,"Alto",K279&lt;11,"Baixo",K279&lt;26,"Médio")</f>
        <v>Médio</v>
      </c>
      <c r="M279" t="str">
        <f>IF(AND(Tabela13[[#This Row],[flag_inadimplente]]="Sim",Tabela13[[#This Row],[nivel_risco]]="Alto"),"Negado","Aprovado")</f>
        <v>Aprovado</v>
      </c>
      <c r="N279" t="str">
        <f>IF(AND(Tabela13[[#This Row],[credito_tomado]]&gt;50000,Tabela13[[#This Row],[flag_inadimplente]]="Sim"),"Negado","Aprovado")</f>
        <v>Aprovado</v>
      </c>
      <c r="O279" s="4">
        <f>IF(AND(Tabela13[[#This Row],[analise_risco]]="Negado",Tabela13[[#This Row],[analise_credito]]="Negado"),0,IF(Tabela13[[#This Row],[status]]="Ativo",Tabela13[[#This Row],[valor_solicitado]]*8%,0))</f>
        <v>0</v>
      </c>
      <c r="P279" s="4">
        <v>16000</v>
      </c>
    </row>
    <row r="280" spans="1:16">
      <c r="A280" t="s">
        <v>71</v>
      </c>
      <c r="B280" t="s">
        <v>621</v>
      </c>
      <c r="C280" s="2" t="s">
        <v>622</v>
      </c>
      <c r="D280" s="24">
        <v>57</v>
      </c>
      <c r="E280" s="3">
        <v>25350</v>
      </c>
      <c r="F280" t="s">
        <v>198</v>
      </c>
      <c r="G280" t="s">
        <v>84</v>
      </c>
      <c r="H280" s="4">
        <v>20600</v>
      </c>
      <c r="I280" s="4">
        <v>52500</v>
      </c>
      <c r="J280" s="5" t="s">
        <v>211</v>
      </c>
      <c r="K280" s="6">
        <v>16</v>
      </c>
      <c r="L280" t="str" cm="1">
        <f t="array" ref="L280">_xlfn.IFS(K280&gt;=26,"Alto",K280&lt;11,"Baixo",K280&lt;26,"Médio")</f>
        <v>Médio</v>
      </c>
      <c r="M280" t="str">
        <f>IF(AND(Tabela13[[#This Row],[flag_inadimplente]]="Sim",Tabela13[[#This Row],[nivel_risco]]="Alto"),"Negado","Aprovado")</f>
        <v>Aprovado</v>
      </c>
      <c r="N280" t="str">
        <f>IF(AND(Tabela13[[#This Row],[credito_tomado]]&gt;50000,Tabela13[[#This Row],[flag_inadimplente]]="Sim"),"Negado","Aprovado")</f>
        <v>Aprovado</v>
      </c>
      <c r="O280" s="4">
        <f>IF(AND(Tabela13[[#This Row],[analise_risco]]="Negado",Tabela13[[#This Row],[analise_credito]]="Negado"),0,IF(Tabela13[[#This Row],[status]]="Ativo",Tabela13[[#This Row],[valor_solicitado]]*8%,0))</f>
        <v>7760</v>
      </c>
      <c r="P280" s="4">
        <v>97000</v>
      </c>
    </row>
    <row r="281" spans="1:16">
      <c r="A281" t="s">
        <v>71</v>
      </c>
      <c r="B281" t="s">
        <v>623</v>
      </c>
      <c r="C281" s="2" t="s">
        <v>624</v>
      </c>
      <c r="D281" s="24">
        <v>27</v>
      </c>
      <c r="E281" s="3">
        <v>36288</v>
      </c>
      <c r="F281" t="s">
        <v>270</v>
      </c>
      <c r="G281" t="s">
        <v>98</v>
      </c>
      <c r="H281" s="4">
        <v>29700</v>
      </c>
      <c r="I281" s="4">
        <v>12000</v>
      </c>
      <c r="J281" s="5" t="s">
        <v>45</v>
      </c>
      <c r="K281" s="6">
        <v>37</v>
      </c>
      <c r="L281" t="str" cm="1">
        <f t="array" ref="L281">_xlfn.IFS(K281&gt;=26,"Alto",K281&lt;11,"Baixo",K281&lt;26,"Médio")</f>
        <v>Alto</v>
      </c>
      <c r="M281" t="str">
        <f>IF(AND(Tabela13[[#This Row],[flag_inadimplente]]="Sim",Tabela13[[#This Row],[nivel_risco]]="Alto"),"Negado","Aprovado")</f>
        <v>Aprovado</v>
      </c>
      <c r="N281" t="str">
        <f>IF(AND(Tabela13[[#This Row],[credito_tomado]]&gt;50000,Tabela13[[#This Row],[flag_inadimplente]]="Sim"),"Negado","Aprovado")</f>
        <v>Aprovado</v>
      </c>
      <c r="O281" s="4">
        <f>IF(AND(Tabela13[[#This Row],[analise_risco]]="Negado",Tabela13[[#This Row],[analise_credito]]="Negado"),0,IF(Tabela13[[#This Row],[status]]="Ativo",Tabela13[[#This Row],[valor_solicitado]]*8%,0))</f>
        <v>3920</v>
      </c>
      <c r="P281" s="4">
        <v>49000</v>
      </c>
    </row>
    <row r="282" spans="1:16">
      <c r="A282" t="s">
        <v>71</v>
      </c>
      <c r="B282" t="s">
        <v>625</v>
      </c>
      <c r="C282" s="2" t="s">
        <v>626</v>
      </c>
      <c r="D282" s="24">
        <v>25</v>
      </c>
      <c r="E282" s="3">
        <v>37118</v>
      </c>
      <c r="F282" t="s">
        <v>78</v>
      </c>
      <c r="G282" t="s">
        <v>79</v>
      </c>
      <c r="H282" s="4">
        <v>27300</v>
      </c>
      <c r="I282" s="4">
        <v>1500</v>
      </c>
      <c r="J282" s="5" t="s">
        <v>46</v>
      </c>
      <c r="K282" s="6">
        <v>33</v>
      </c>
      <c r="L282" t="str" cm="1">
        <f t="array" ref="L282">_xlfn.IFS(K282&gt;=26,"Alto",K282&lt;11,"Baixo",K282&lt;26,"Médio")</f>
        <v>Alto</v>
      </c>
      <c r="M282" t="str">
        <f>IF(AND(Tabela13[[#This Row],[flag_inadimplente]]="Sim",Tabela13[[#This Row],[nivel_risco]]="Alto"),"Negado","Aprovado")</f>
        <v>Negado</v>
      </c>
      <c r="N282" t="str">
        <f>IF(AND(Tabela13[[#This Row],[credito_tomado]]&gt;50000,Tabela13[[#This Row],[flag_inadimplente]]="Sim"),"Negado","Aprovado")</f>
        <v>Aprovado</v>
      </c>
      <c r="O282" s="4">
        <f>IF(AND(Tabela13[[#This Row],[analise_risco]]="Negado",Tabela13[[#This Row],[analise_credito]]="Negado"),0,IF(Tabela13[[#This Row],[status]]="Ativo",Tabela13[[#This Row],[valor_solicitado]]*8%,0))</f>
        <v>1120</v>
      </c>
      <c r="P282" s="4">
        <v>14000</v>
      </c>
    </row>
    <row r="283" spans="1:16">
      <c r="A283" t="s">
        <v>71</v>
      </c>
      <c r="B283" t="s">
        <v>627</v>
      </c>
      <c r="C283" s="2" t="s">
        <v>628</v>
      </c>
      <c r="D283" s="24">
        <v>67</v>
      </c>
      <c r="E283" s="3">
        <v>21624</v>
      </c>
      <c r="F283" t="s">
        <v>270</v>
      </c>
      <c r="G283" t="s">
        <v>98</v>
      </c>
      <c r="H283" s="4">
        <v>8500</v>
      </c>
      <c r="I283" s="4">
        <v>39500</v>
      </c>
      <c r="J283" s="5" t="s">
        <v>46</v>
      </c>
      <c r="K283" s="6" t="s">
        <v>80</v>
      </c>
      <c r="L283" t="str" cm="1">
        <f t="array" ref="L283">_xlfn.IFS(K283&gt;=26,"Alto",K283&lt;11,"Baixo",K283&lt;26,"Médio")</f>
        <v>Alto</v>
      </c>
      <c r="M283" t="str">
        <f>IF(AND(Tabela13[[#This Row],[flag_inadimplente]]="Sim",Tabela13[[#This Row],[nivel_risco]]="Alto"),"Negado","Aprovado")</f>
        <v>Negado</v>
      </c>
      <c r="N283" t="str">
        <f>IF(AND(Tabela13[[#This Row],[credito_tomado]]&gt;50000,Tabela13[[#This Row],[flag_inadimplente]]="Sim"),"Negado","Aprovado")</f>
        <v>Aprovado</v>
      </c>
      <c r="O283" s="4">
        <f>IF(AND(Tabela13[[#This Row],[analise_risco]]="Negado",Tabela13[[#This Row],[analise_credito]]="Negado"),0,IF(Tabela13[[#This Row],[status]]="Ativo",Tabela13[[#This Row],[valor_solicitado]]*8%,0))</f>
        <v>3360</v>
      </c>
      <c r="P283" s="4">
        <v>42000</v>
      </c>
    </row>
    <row r="284" spans="1:16">
      <c r="A284" t="s">
        <v>71</v>
      </c>
      <c r="B284" t="s">
        <v>629</v>
      </c>
      <c r="C284" s="2" t="s">
        <v>630</v>
      </c>
      <c r="D284" s="24">
        <v>73</v>
      </c>
      <c r="E284" s="3">
        <v>19323</v>
      </c>
      <c r="F284" t="s">
        <v>188</v>
      </c>
      <c r="G284" t="s">
        <v>195</v>
      </c>
      <c r="H284" s="4">
        <v>18100</v>
      </c>
      <c r="I284" s="4">
        <v>0</v>
      </c>
      <c r="J284" s="5" t="s">
        <v>45</v>
      </c>
      <c r="K284" s="6">
        <v>36</v>
      </c>
      <c r="L284" t="str" cm="1">
        <f t="array" ref="L284">_xlfn.IFS(K284&gt;=26,"Alto",K284&lt;11,"Baixo",K284&lt;26,"Médio")</f>
        <v>Alto</v>
      </c>
      <c r="M284" t="str">
        <f>IF(AND(Tabela13[[#This Row],[flag_inadimplente]]="Sim",Tabela13[[#This Row],[nivel_risco]]="Alto"),"Negado","Aprovado")</f>
        <v>Aprovado</v>
      </c>
      <c r="N284" t="str">
        <f>IF(AND(Tabela13[[#This Row],[credito_tomado]]&gt;50000,Tabela13[[#This Row],[flag_inadimplente]]="Sim"),"Negado","Aprovado")</f>
        <v>Aprovado</v>
      </c>
      <c r="O284" s="4">
        <f>IF(AND(Tabela13[[#This Row],[analise_risco]]="Negado",Tabela13[[#This Row],[analise_credito]]="Negado"),0,IF(Tabela13[[#This Row],[status]]="Ativo",Tabela13[[#This Row],[valor_solicitado]]*8%,0))</f>
        <v>7120</v>
      </c>
      <c r="P284" s="4">
        <v>89000</v>
      </c>
    </row>
    <row r="285" spans="1:16">
      <c r="A285" t="s">
        <v>71</v>
      </c>
      <c r="B285" t="s">
        <v>631</v>
      </c>
      <c r="C285" s="2" t="s">
        <v>632</v>
      </c>
      <c r="D285" s="24">
        <v>43</v>
      </c>
      <c r="E285" s="3">
        <v>30355</v>
      </c>
      <c r="F285" t="s">
        <v>126</v>
      </c>
      <c r="G285" t="s">
        <v>98</v>
      </c>
      <c r="H285" s="4">
        <v>21700</v>
      </c>
      <c r="I285" s="4">
        <v>31000</v>
      </c>
      <c r="J285" s="5" t="s">
        <v>45</v>
      </c>
      <c r="K285" s="6">
        <v>27</v>
      </c>
      <c r="L285" t="str" cm="1">
        <f t="array" ref="L285">_xlfn.IFS(K285&gt;=26,"Alto",K285&lt;11,"Baixo",K285&lt;26,"Médio")</f>
        <v>Alto</v>
      </c>
      <c r="M285" t="str">
        <f>IF(AND(Tabela13[[#This Row],[flag_inadimplente]]="Sim",Tabela13[[#This Row],[nivel_risco]]="Alto"),"Negado","Aprovado")</f>
        <v>Aprovado</v>
      </c>
      <c r="N285" t="str">
        <f>IF(AND(Tabela13[[#This Row],[credito_tomado]]&gt;50000,Tabela13[[#This Row],[flag_inadimplente]]="Sim"),"Negado","Aprovado")</f>
        <v>Aprovado</v>
      </c>
      <c r="O285" s="4">
        <f>IF(AND(Tabela13[[#This Row],[analise_risco]]="Negado",Tabela13[[#This Row],[analise_credito]]="Negado"),0,IF(Tabela13[[#This Row],[status]]="Ativo",Tabela13[[#This Row],[valor_solicitado]]*8%,0))</f>
        <v>3640</v>
      </c>
      <c r="P285" s="4">
        <v>45500</v>
      </c>
    </row>
    <row r="286" spans="1:16">
      <c r="A286" t="s">
        <v>85</v>
      </c>
      <c r="B286" t="s">
        <v>633</v>
      </c>
      <c r="C286" s="2" t="s">
        <v>634</v>
      </c>
      <c r="D286" s="24" t="s">
        <v>635</v>
      </c>
      <c r="E286" s="3">
        <v>34387</v>
      </c>
      <c r="F286" t="s">
        <v>97</v>
      </c>
      <c r="G286" t="s">
        <v>98</v>
      </c>
      <c r="H286" s="4">
        <v>20500</v>
      </c>
      <c r="I286" s="4">
        <v>0</v>
      </c>
      <c r="J286" s="5" t="s">
        <v>45</v>
      </c>
      <c r="K286" s="6">
        <v>10</v>
      </c>
      <c r="L286" t="str" cm="1">
        <f t="array" ref="L286">_xlfn.IFS(K286&gt;=26,"Alto",K286&lt;11,"Baixo",K286&lt;26,"Médio")</f>
        <v>Baixo</v>
      </c>
      <c r="M286" t="str">
        <f>IF(AND(Tabela13[[#This Row],[flag_inadimplente]]="Sim",Tabela13[[#This Row],[nivel_risco]]="Alto"),"Negado","Aprovado")</f>
        <v>Aprovado</v>
      </c>
      <c r="N286" t="str">
        <f>IF(AND(Tabela13[[#This Row],[credito_tomado]]&gt;50000,Tabela13[[#This Row],[flag_inadimplente]]="Sim"),"Negado","Aprovado")</f>
        <v>Aprovado</v>
      </c>
      <c r="O286" s="4">
        <f>IF(AND(Tabela13[[#This Row],[analise_risco]]="Negado",Tabela13[[#This Row],[analise_credito]]="Negado"),0,IF(Tabela13[[#This Row],[status]]="Ativo",Tabela13[[#This Row],[valor_solicitado]]*8%,0))</f>
        <v>0</v>
      </c>
      <c r="P286" s="4">
        <v>54500</v>
      </c>
    </row>
    <row r="287" spans="1:16">
      <c r="A287" t="s">
        <v>636</v>
      </c>
      <c r="B287" t="s">
        <v>633</v>
      </c>
      <c r="C287" s="2" t="s">
        <v>637</v>
      </c>
      <c r="D287" s="24">
        <v>63</v>
      </c>
      <c r="E287" s="3">
        <v>23084</v>
      </c>
      <c r="F287" t="s">
        <v>149</v>
      </c>
      <c r="G287" t="s">
        <v>79</v>
      </c>
      <c r="H287" s="4">
        <v>17300</v>
      </c>
      <c r="I287" s="4">
        <v>22000</v>
      </c>
      <c r="J287" s="5" t="s">
        <v>45</v>
      </c>
      <c r="K287" s="6">
        <v>41</v>
      </c>
      <c r="L287" t="str" cm="1">
        <f t="array" ref="L287">_xlfn.IFS(K287&gt;=26,"Alto",K287&lt;11,"Baixo",K287&lt;26,"Médio")</f>
        <v>Alto</v>
      </c>
      <c r="M287" t="str">
        <f>IF(AND(Tabela13[[#This Row],[flag_inadimplente]]="Sim",Tabela13[[#This Row],[nivel_risco]]="Alto"),"Negado","Aprovado")</f>
        <v>Aprovado</v>
      </c>
      <c r="N287" t="str">
        <f>IF(AND(Tabela13[[#This Row],[credito_tomado]]&gt;50000,Tabela13[[#This Row],[flag_inadimplente]]="Sim"),"Negado","Aprovado")</f>
        <v>Aprovado</v>
      </c>
      <c r="O287" s="4">
        <f>IF(AND(Tabela13[[#This Row],[analise_risco]]="Negado",Tabela13[[#This Row],[analise_credito]]="Negado"),0,IF(Tabela13[[#This Row],[status]]="Ativo",Tabela13[[#This Row],[valor_solicitado]]*8%,0))</f>
        <v>0</v>
      </c>
      <c r="P287" s="4">
        <v>97000</v>
      </c>
    </row>
    <row r="288" spans="1:16">
      <c r="A288" t="s">
        <v>71</v>
      </c>
      <c r="B288" t="s">
        <v>638</v>
      </c>
      <c r="C288" s="2" t="s">
        <v>639</v>
      </c>
      <c r="D288" s="24">
        <v>53</v>
      </c>
      <c r="E288" s="3">
        <v>26620</v>
      </c>
      <c r="F288" t="s">
        <v>107</v>
      </c>
      <c r="G288" t="s">
        <v>108</v>
      </c>
      <c r="H288" s="4">
        <v>21300</v>
      </c>
      <c r="I288" s="4">
        <v>79500</v>
      </c>
      <c r="J288" s="5" t="s">
        <v>45</v>
      </c>
      <c r="K288" s="6">
        <v>18</v>
      </c>
      <c r="L288" t="str" cm="1">
        <f t="array" ref="L288">_xlfn.IFS(K288&gt;=26,"Alto",K288&lt;11,"Baixo",K288&lt;26,"Médio")</f>
        <v>Médio</v>
      </c>
      <c r="M288" t="str">
        <f>IF(AND(Tabela13[[#This Row],[flag_inadimplente]]="Sim",Tabela13[[#This Row],[nivel_risco]]="Alto"),"Negado","Aprovado")</f>
        <v>Aprovado</v>
      </c>
      <c r="N288" t="str">
        <f>IF(AND(Tabela13[[#This Row],[credito_tomado]]&gt;50000,Tabela13[[#This Row],[flag_inadimplente]]="Sim"),"Negado","Aprovado")</f>
        <v>Aprovado</v>
      </c>
      <c r="O288" s="4">
        <f>IF(AND(Tabela13[[#This Row],[analise_risco]]="Negado",Tabela13[[#This Row],[analise_credito]]="Negado"),0,IF(Tabela13[[#This Row],[status]]="Ativo",Tabela13[[#This Row],[valor_solicitado]]*8%,0))</f>
        <v>1520</v>
      </c>
      <c r="P288" s="4">
        <v>19000</v>
      </c>
    </row>
    <row r="289" spans="1:16">
      <c r="A289" t="s">
        <v>71</v>
      </c>
      <c r="B289" t="s">
        <v>640</v>
      </c>
      <c r="C289" s="2" t="s">
        <v>641</v>
      </c>
      <c r="D289" s="24">
        <v>42</v>
      </c>
      <c r="E289" s="3">
        <v>30642</v>
      </c>
      <c r="F289" t="s">
        <v>90</v>
      </c>
      <c r="G289" t="s">
        <v>90</v>
      </c>
      <c r="H289" s="4">
        <v>0</v>
      </c>
      <c r="I289" s="4">
        <v>19500</v>
      </c>
      <c r="J289" s="5" t="s">
        <v>45</v>
      </c>
      <c r="K289" s="6">
        <v>42</v>
      </c>
      <c r="L289" t="str" cm="1">
        <f t="array" ref="L289">_xlfn.IFS(K289&gt;=26,"Alto",K289&lt;11,"Baixo",K289&lt;26,"Médio")</f>
        <v>Alto</v>
      </c>
      <c r="M289" t="str">
        <f>IF(AND(Tabela13[[#This Row],[flag_inadimplente]]="Sim",Tabela13[[#This Row],[nivel_risco]]="Alto"),"Negado","Aprovado")</f>
        <v>Aprovado</v>
      </c>
      <c r="N289" t="str">
        <f>IF(AND(Tabela13[[#This Row],[credito_tomado]]&gt;50000,Tabela13[[#This Row],[flag_inadimplente]]="Sim"),"Negado","Aprovado")</f>
        <v>Aprovado</v>
      </c>
      <c r="O289" s="4">
        <f>IF(AND(Tabela13[[#This Row],[analise_risco]]="Negado",Tabela13[[#This Row],[analise_credito]]="Negado"),0,IF(Tabela13[[#This Row],[status]]="Ativo",Tabela13[[#This Row],[valor_solicitado]]*8%,0))</f>
        <v>7160</v>
      </c>
      <c r="P289" s="4">
        <v>89500</v>
      </c>
    </row>
    <row r="290" spans="1:16">
      <c r="A290" t="s">
        <v>85</v>
      </c>
      <c r="B290" t="s">
        <v>642</v>
      </c>
      <c r="C290" s="2" t="s">
        <v>643</v>
      </c>
      <c r="D290" s="24">
        <v>73</v>
      </c>
      <c r="E290" s="3">
        <v>19299</v>
      </c>
      <c r="F290" t="s">
        <v>216</v>
      </c>
      <c r="G290" t="s">
        <v>94</v>
      </c>
      <c r="H290" s="4">
        <v>7100</v>
      </c>
      <c r="I290" s="4">
        <v>58000</v>
      </c>
      <c r="J290" s="5" t="s">
        <v>46</v>
      </c>
      <c r="K290" s="6">
        <v>22</v>
      </c>
      <c r="L290" t="str" cm="1">
        <f t="array" ref="L290">_xlfn.IFS(K290&gt;=26,"Alto",K290&lt;11,"Baixo",K290&lt;26,"Médio")</f>
        <v>Médio</v>
      </c>
      <c r="M290" t="str">
        <f>IF(AND(Tabela13[[#This Row],[flag_inadimplente]]="Sim",Tabela13[[#This Row],[nivel_risco]]="Alto"),"Negado","Aprovado")</f>
        <v>Aprovado</v>
      </c>
      <c r="N290" t="str">
        <f>IF(AND(Tabela13[[#This Row],[credito_tomado]]&gt;50000,Tabela13[[#This Row],[flag_inadimplente]]="Sim"),"Negado","Aprovado")</f>
        <v>Negado</v>
      </c>
      <c r="O290" s="4">
        <f>IF(AND(Tabela13[[#This Row],[analise_risco]]="Negado",Tabela13[[#This Row],[analise_credito]]="Negado"),0,IF(Tabela13[[#This Row],[status]]="Ativo",Tabela13[[#This Row],[valor_solicitado]]*8%,0))</f>
        <v>0</v>
      </c>
      <c r="P290" s="4">
        <v>46500</v>
      </c>
    </row>
    <row r="291" spans="1:16">
      <c r="A291" t="s">
        <v>71</v>
      </c>
      <c r="B291" t="s">
        <v>644</v>
      </c>
      <c r="C291" s="2" t="s">
        <v>645</v>
      </c>
      <c r="D291" s="24">
        <v>29</v>
      </c>
      <c r="E291" s="3">
        <v>35323</v>
      </c>
      <c r="F291" t="s">
        <v>78</v>
      </c>
      <c r="G291" t="s">
        <v>79</v>
      </c>
      <c r="H291" s="4">
        <v>21200</v>
      </c>
      <c r="I291" s="4">
        <v>75000</v>
      </c>
      <c r="J291" s="5" t="s">
        <v>45</v>
      </c>
      <c r="K291" s="6">
        <v>6</v>
      </c>
      <c r="L291" t="str" cm="1">
        <f t="array" ref="L291">_xlfn.IFS(K291&gt;=26,"Alto",K291&lt;11,"Baixo",K291&lt;26,"Médio")</f>
        <v>Baixo</v>
      </c>
      <c r="M291" t="str">
        <f>IF(AND(Tabela13[[#This Row],[flag_inadimplente]]="Sim",Tabela13[[#This Row],[nivel_risco]]="Alto"),"Negado","Aprovado")</f>
        <v>Aprovado</v>
      </c>
      <c r="N291" t="str">
        <f>IF(AND(Tabela13[[#This Row],[credito_tomado]]&gt;50000,Tabela13[[#This Row],[flag_inadimplente]]="Sim"),"Negado","Aprovado")</f>
        <v>Aprovado</v>
      </c>
      <c r="O291" s="4">
        <f>IF(AND(Tabela13[[#This Row],[analise_risco]]="Negado",Tabela13[[#This Row],[analise_credito]]="Negado"),0,IF(Tabela13[[#This Row],[status]]="Ativo",Tabela13[[#This Row],[valor_solicitado]]*8%,0))</f>
        <v>5080</v>
      </c>
      <c r="P291" s="4">
        <v>63500</v>
      </c>
    </row>
    <row r="292" spans="1:16">
      <c r="A292" t="s">
        <v>71</v>
      </c>
      <c r="B292" t="s">
        <v>646</v>
      </c>
      <c r="C292" s="2" t="s">
        <v>647</v>
      </c>
      <c r="D292" s="24">
        <v>62</v>
      </c>
      <c r="E292" s="3">
        <v>23317</v>
      </c>
      <c r="F292" t="s">
        <v>270</v>
      </c>
      <c r="G292" t="s">
        <v>98</v>
      </c>
      <c r="H292" s="4">
        <v>10500</v>
      </c>
      <c r="I292" s="4">
        <v>0</v>
      </c>
      <c r="J292" s="5" t="s">
        <v>46</v>
      </c>
      <c r="K292" s="6">
        <v>4</v>
      </c>
      <c r="L292" t="str" cm="1">
        <f t="array" ref="L292">_xlfn.IFS(K292&gt;=26,"Alto",K292&lt;11,"Baixo",K292&lt;26,"Médio")</f>
        <v>Baixo</v>
      </c>
      <c r="M292" t="str">
        <f>IF(AND(Tabela13[[#This Row],[flag_inadimplente]]="Sim",Tabela13[[#This Row],[nivel_risco]]="Alto"),"Negado","Aprovado")</f>
        <v>Aprovado</v>
      </c>
      <c r="N292" t="str">
        <f>IF(AND(Tabela13[[#This Row],[credito_tomado]]&gt;50000,Tabela13[[#This Row],[flag_inadimplente]]="Sim"),"Negado","Aprovado")</f>
        <v>Aprovado</v>
      </c>
      <c r="O292" s="4">
        <f>IF(AND(Tabela13[[#This Row],[analise_risco]]="Negado",Tabela13[[#This Row],[analise_credito]]="Negado"),0,IF(Tabela13[[#This Row],[status]]="Ativo",Tabela13[[#This Row],[valor_solicitado]]*8%,0))</f>
        <v>4360</v>
      </c>
      <c r="P292" s="4">
        <v>54500</v>
      </c>
    </row>
    <row r="293" spans="1:16">
      <c r="A293" t="s">
        <v>71</v>
      </c>
      <c r="B293" t="s">
        <v>648</v>
      </c>
      <c r="C293" s="2" t="s">
        <v>649</v>
      </c>
      <c r="D293" s="24">
        <v>20</v>
      </c>
      <c r="E293" s="3">
        <v>38894</v>
      </c>
      <c r="F293" t="s">
        <v>126</v>
      </c>
      <c r="G293" t="s">
        <v>98</v>
      </c>
      <c r="H293" s="4">
        <v>24900</v>
      </c>
      <c r="I293" s="4">
        <v>0</v>
      </c>
      <c r="J293" s="5" t="s">
        <v>46</v>
      </c>
      <c r="K293" s="6">
        <v>14</v>
      </c>
      <c r="L293" t="str" cm="1">
        <f t="array" ref="L293">_xlfn.IFS(K293&gt;=26,"Alto",K293&lt;11,"Baixo",K293&lt;26,"Médio")</f>
        <v>Médio</v>
      </c>
      <c r="M293" t="str">
        <f>IF(AND(Tabela13[[#This Row],[flag_inadimplente]]="Sim",Tabela13[[#This Row],[nivel_risco]]="Alto"),"Negado","Aprovado")</f>
        <v>Aprovado</v>
      </c>
      <c r="N293" t="str">
        <f>IF(AND(Tabela13[[#This Row],[credito_tomado]]&gt;50000,Tabela13[[#This Row],[flag_inadimplente]]="Sim"),"Negado","Aprovado")</f>
        <v>Aprovado</v>
      </c>
      <c r="O293" s="4">
        <f>IF(AND(Tabela13[[#This Row],[analise_risco]]="Negado",Tabela13[[#This Row],[analise_credito]]="Negado"),0,IF(Tabela13[[#This Row],[status]]="Ativo",Tabela13[[#This Row],[valor_solicitado]]*8%,0))</f>
        <v>3960</v>
      </c>
      <c r="P293" s="4">
        <v>49500</v>
      </c>
    </row>
    <row r="294" spans="1:16">
      <c r="A294" t="s">
        <v>71</v>
      </c>
      <c r="B294" t="s">
        <v>650</v>
      </c>
      <c r="C294" s="2" t="s">
        <v>651</v>
      </c>
      <c r="D294" s="24">
        <v>71</v>
      </c>
      <c r="E294" s="3">
        <v>20000</v>
      </c>
      <c r="F294" t="s">
        <v>188</v>
      </c>
      <c r="G294" t="s">
        <v>195</v>
      </c>
      <c r="H294" s="4">
        <v>15100</v>
      </c>
      <c r="I294" s="8" t="s">
        <v>80</v>
      </c>
      <c r="J294" s="5" t="s">
        <v>45</v>
      </c>
      <c r="K294" s="6">
        <v>30</v>
      </c>
      <c r="L294" t="str" cm="1">
        <f t="array" ref="L294">_xlfn.IFS(K294&gt;=26,"Alto",K294&lt;11,"Baixo",K294&lt;26,"Médio")</f>
        <v>Alto</v>
      </c>
      <c r="M294" t="str">
        <f>IF(AND(Tabela13[[#This Row],[flag_inadimplente]]="Sim",Tabela13[[#This Row],[nivel_risco]]="Alto"),"Negado","Aprovado")</f>
        <v>Aprovado</v>
      </c>
      <c r="N294" t="str">
        <f>IF(AND(Tabela13[[#This Row],[credito_tomado]]&gt;50000,Tabela13[[#This Row],[flag_inadimplente]]="Sim"),"Negado","Aprovado")</f>
        <v>Aprovado</v>
      </c>
      <c r="O294" s="4">
        <f>IF(AND(Tabela13[[#This Row],[analise_risco]]="Negado",Tabela13[[#This Row],[analise_credito]]="Negado"),0,IF(Tabela13[[#This Row],[status]]="Ativo",Tabela13[[#This Row],[valor_solicitado]]*8%,0))</f>
        <v>6160</v>
      </c>
      <c r="P294" s="4">
        <v>77000</v>
      </c>
    </row>
    <row r="295" spans="1:16">
      <c r="A295" t="s">
        <v>71</v>
      </c>
      <c r="B295" t="s">
        <v>650</v>
      </c>
      <c r="C295" s="2" t="s">
        <v>652</v>
      </c>
      <c r="D295" s="24">
        <v>44</v>
      </c>
      <c r="E295" s="3">
        <v>30167</v>
      </c>
      <c r="F295" t="s">
        <v>149</v>
      </c>
      <c r="G295" s="7" t="s">
        <v>80</v>
      </c>
      <c r="H295" s="4">
        <v>5500</v>
      </c>
      <c r="I295" s="4">
        <v>26000</v>
      </c>
      <c r="J295" s="5" t="s">
        <v>45</v>
      </c>
      <c r="K295" s="6">
        <v>42</v>
      </c>
      <c r="L295" t="str" cm="1">
        <f t="array" ref="L295">_xlfn.IFS(K295&gt;=26,"Alto",K295&lt;11,"Baixo",K295&lt;26,"Médio")</f>
        <v>Alto</v>
      </c>
      <c r="M295" t="str">
        <f>IF(AND(Tabela13[[#This Row],[flag_inadimplente]]="Sim",Tabela13[[#This Row],[nivel_risco]]="Alto"),"Negado","Aprovado")</f>
        <v>Aprovado</v>
      </c>
      <c r="N295" t="str">
        <f>IF(AND(Tabela13[[#This Row],[credito_tomado]]&gt;50000,Tabela13[[#This Row],[flag_inadimplente]]="Sim"),"Negado","Aprovado")</f>
        <v>Aprovado</v>
      </c>
      <c r="O295" s="4">
        <f>IF(AND(Tabela13[[#This Row],[analise_risco]]="Negado",Tabela13[[#This Row],[analise_credito]]="Negado"),0,IF(Tabela13[[#This Row],[status]]="Ativo",Tabela13[[#This Row],[valor_solicitado]]*8%,0))</f>
        <v>5120</v>
      </c>
      <c r="P295" s="4">
        <v>64000</v>
      </c>
    </row>
    <row r="296" spans="1:16">
      <c r="A296" t="s">
        <v>71</v>
      </c>
      <c r="B296" t="s">
        <v>653</v>
      </c>
      <c r="C296" s="2" t="s">
        <v>654</v>
      </c>
      <c r="D296" s="24">
        <v>22</v>
      </c>
      <c r="E296" s="3">
        <v>37936</v>
      </c>
      <c r="F296" t="s">
        <v>107</v>
      </c>
      <c r="G296" t="s">
        <v>108</v>
      </c>
      <c r="H296" s="4">
        <v>4100</v>
      </c>
      <c r="I296" s="4">
        <v>2000</v>
      </c>
      <c r="J296" s="5" t="s">
        <v>45</v>
      </c>
      <c r="K296" s="6">
        <v>8</v>
      </c>
      <c r="L296" t="str" cm="1">
        <f t="array" ref="L296">_xlfn.IFS(K296&gt;=26,"Alto",K296&lt;11,"Baixo",K296&lt;26,"Médio")</f>
        <v>Baixo</v>
      </c>
      <c r="M296" t="str">
        <f>IF(AND(Tabela13[[#This Row],[flag_inadimplente]]="Sim",Tabela13[[#This Row],[nivel_risco]]="Alto"),"Negado","Aprovado")</f>
        <v>Aprovado</v>
      </c>
      <c r="N296" t="str">
        <f>IF(AND(Tabela13[[#This Row],[credito_tomado]]&gt;50000,Tabela13[[#This Row],[flag_inadimplente]]="Sim"),"Negado","Aprovado")</f>
        <v>Aprovado</v>
      </c>
      <c r="O296" s="4">
        <f>IF(AND(Tabela13[[#This Row],[analise_risco]]="Negado",Tabela13[[#This Row],[analise_credito]]="Negado"),0,IF(Tabela13[[#This Row],[status]]="Ativo",Tabela13[[#This Row],[valor_solicitado]]*8%,0))</f>
        <v>320</v>
      </c>
      <c r="P296" s="4">
        <v>4000</v>
      </c>
    </row>
    <row r="297" spans="1:16">
      <c r="A297" t="s">
        <v>71</v>
      </c>
      <c r="B297" t="s">
        <v>655</v>
      </c>
      <c r="C297" s="2" t="s">
        <v>656</v>
      </c>
      <c r="D297" s="24">
        <v>25</v>
      </c>
      <c r="E297" s="3">
        <v>36792</v>
      </c>
      <c r="F297" t="s">
        <v>107</v>
      </c>
      <c r="G297" t="s">
        <v>108</v>
      </c>
      <c r="H297" s="4">
        <v>22100</v>
      </c>
      <c r="I297" s="4">
        <v>30500</v>
      </c>
      <c r="J297" s="5" t="s">
        <v>45</v>
      </c>
      <c r="K297" s="6">
        <v>28</v>
      </c>
      <c r="L297" t="str" cm="1">
        <f t="array" ref="L297">_xlfn.IFS(K297&gt;=26,"Alto",K297&lt;11,"Baixo",K297&lt;26,"Médio")</f>
        <v>Alto</v>
      </c>
      <c r="M297" t="str">
        <f>IF(AND(Tabela13[[#This Row],[flag_inadimplente]]="Sim",Tabela13[[#This Row],[nivel_risco]]="Alto"),"Negado","Aprovado")</f>
        <v>Aprovado</v>
      </c>
      <c r="N297" t="str">
        <f>IF(AND(Tabela13[[#This Row],[credito_tomado]]&gt;50000,Tabela13[[#This Row],[flag_inadimplente]]="Sim"),"Negado","Aprovado")</f>
        <v>Aprovado</v>
      </c>
      <c r="O297" s="4">
        <f>IF(AND(Tabela13[[#This Row],[analise_risco]]="Negado",Tabela13[[#This Row],[analise_credito]]="Negado"),0,IF(Tabela13[[#This Row],[status]]="Ativo",Tabela13[[#This Row],[valor_solicitado]]*8%,0))</f>
        <v>3840</v>
      </c>
      <c r="P297" s="4">
        <v>48000</v>
      </c>
    </row>
    <row r="298" spans="1:16">
      <c r="A298" t="s">
        <v>71</v>
      </c>
      <c r="B298" t="s">
        <v>657</v>
      </c>
      <c r="C298" s="2" t="s">
        <v>658</v>
      </c>
      <c r="D298" s="24">
        <v>40</v>
      </c>
      <c r="E298" s="3">
        <v>31539</v>
      </c>
      <c r="F298" t="s">
        <v>147</v>
      </c>
      <c r="G298" t="s">
        <v>98</v>
      </c>
      <c r="H298" s="4">
        <v>9900</v>
      </c>
      <c r="I298" s="4">
        <v>3500</v>
      </c>
      <c r="J298" s="5" t="s">
        <v>45</v>
      </c>
      <c r="K298" s="6">
        <v>1</v>
      </c>
      <c r="L298" t="str" cm="1">
        <f t="array" ref="L298">_xlfn.IFS(K298&gt;=26,"Alto",K298&lt;11,"Baixo",K298&lt;26,"Médio")</f>
        <v>Baixo</v>
      </c>
      <c r="M298" t="str">
        <f>IF(AND(Tabela13[[#This Row],[flag_inadimplente]]="Sim",Tabela13[[#This Row],[nivel_risco]]="Alto"),"Negado","Aprovado")</f>
        <v>Aprovado</v>
      </c>
      <c r="N298" t="str">
        <f>IF(AND(Tabela13[[#This Row],[credito_tomado]]&gt;50000,Tabela13[[#This Row],[flag_inadimplente]]="Sim"),"Negado","Aprovado")</f>
        <v>Aprovado</v>
      </c>
      <c r="O298" s="4">
        <f>IF(AND(Tabela13[[#This Row],[analise_risco]]="Negado",Tabela13[[#This Row],[analise_credito]]="Negado"),0,IF(Tabela13[[#This Row],[status]]="Ativo",Tabela13[[#This Row],[valor_solicitado]]*8%,0))</f>
        <v>1880</v>
      </c>
      <c r="P298" s="4">
        <v>23500</v>
      </c>
    </row>
    <row r="299" spans="1:16">
      <c r="A299" t="s">
        <v>71</v>
      </c>
      <c r="B299" t="s">
        <v>659</v>
      </c>
      <c r="C299" s="2" t="s">
        <v>660</v>
      </c>
      <c r="D299" s="24">
        <v>26</v>
      </c>
      <c r="E299" s="3">
        <v>36518</v>
      </c>
      <c r="F299" t="s">
        <v>126</v>
      </c>
      <c r="G299" t="s">
        <v>98</v>
      </c>
      <c r="H299" s="4">
        <v>5000</v>
      </c>
      <c r="I299" s="4">
        <v>61500</v>
      </c>
      <c r="J299" s="5" t="s">
        <v>45</v>
      </c>
      <c r="K299" s="6">
        <v>35</v>
      </c>
      <c r="L299" t="str" cm="1">
        <f t="array" ref="L299">_xlfn.IFS(K299&gt;=26,"Alto",K299&lt;11,"Baixo",K299&lt;26,"Médio")</f>
        <v>Alto</v>
      </c>
      <c r="M299" t="str">
        <f>IF(AND(Tabela13[[#This Row],[flag_inadimplente]]="Sim",Tabela13[[#This Row],[nivel_risco]]="Alto"),"Negado","Aprovado")</f>
        <v>Aprovado</v>
      </c>
      <c r="N299" t="str">
        <f>IF(AND(Tabela13[[#This Row],[credito_tomado]]&gt;50000,Tabela13[[#This Row],[flag_inadimplente]]="Sim"),"Negado","Aprovado")</f>
        <v>Aprovado</v>
      </c>
      <c r="O299" s="4">
        <f>IF(AND(Tabela13[[#This Row],[analise_risco]]="Negado",Tabela13[[#This Row],[analise_credito]]="Negado"),0,IF(Tabela13[[#This Row],[status]]="Ativo",Tabela13[[#This Row],[valor_solicitado]]*8%,0))</f>
        <v>1480</v>
      </c>
      <c r="P299" s="4">
        <v>18500</v>
      </c>
    </row>
    <row r="300" spans="1:16">
      <c r="A300" t="s">
        <v>71</v>
      </c>
      <c r="B300" t="s">
        <v>661</v>
      </c>
      <c r="C300" s="2" t="s">
        <v>662</v>
      </c>
      <c r="D300" s="24">
        <v>63</v>
      </c>
      <c r="E300" s="3">
        <v>22900</v>
      </c>
      <c r="F300" t="s">
        <v>90</v>
      </c>
      <c r="G300" t="s">
        <v>90</v>
      </c>
      <c r="H300" s="4">
        <v>5500</v>
      </c>
      <c r="I300" s="4">
        <v>41000</v>
      </c>
      <c r="J300" s="5" t="s">
        <v>45</v>
      </c>
      <c r="K300" s="6">
        <v>35</v>
      </c>
      <c r="L300" t="str" cm="1">
        <f t="array" ref="L300">_xlfn.IFS(K300&gt;=26,"Alto",K300&lt;11,"Baixo",K300&lt;26,"Médio")</f>
        <v>Alto</v>
      </c>
      <c r="M300" t="str">
        <f>IF(AND(Tabela13[[#This Row],[flag_inadimplente]]="Sim",Tabela13[[#This Row],[nivel_risco]]="Alto"),"Negado","Aprovado")</f>
        <v>Aprovado</v>
      </c>
      <c r="N300" t="str">
        <f>IF(AND(Tabela13[[#This Row],[credito_tomado]]&gt;50000,Tabela13[[#This Row],[flag_inadimplente]]="Sim"),"Negado","Aprovado")</f>
        <v>Aprovado</v>
      </c>
      <c r="O300" s="4">
        <f>IF(AND(Tabela13[[#This Row],[analise_risco]]="Negado",Tabela13[[#This Row],[analise_credito]]="Negado"),0,IF(Tabela13[[#This Row],[status]]="Ativo",Tabela13[[#This Row],[valor_solicitado]]*8%,0))</f>
        <v>4360</v>
      </c>
      <c r="P300" s="4">
        <v>54500</v>
      </c>
    </row>
    <row r="301" spans="1:16">
      <c r="A301" t="s">
        <v>71</v>
      </c>
      <c r="B301" t="s">
        <v>661</v>
      </c>
      <c r="C301" s="2" t="s">
        <v>663</v>
      </c>
      <c r="D301" s="24">
        <v>72</v>
      </c>
      <c r="E301" s="3">
        <v>19623</v>
      </c>
      <c r="F301" t="s">
        <v>139</v>
      </c>
      <c r="G301" t="s">
        <v>140</v>
      </c>
      <c r="H301" s="4">
        <v>12600</v>
      </c>
      <c r="I301" s="4">
        <v>5500</v>
      </c>
      <c r="J301" s="5" t="s">
        <v>45</v>
      </c>
      <c r="K301" s="6">
        <v>2</v>
      </c>
      <c r="L301" t="str" cm="1">
        <f t="array" ref="L301">_xlfn.IFS(K301&gt;=26,"Alto",K301&lt;11,"Baixo",K301&lt;26,"Médio")</f>
        <v>Baixo</v>
      </c>
      <c r="M301" t="str">
        <f>IF(AND(Tabela13[[#This Row],[flag_inadimplente]]="Sim",Tabela13[[#This Row],[nivel_risco]]="Alto"),"Negado","Aprovado")</f>
        <v>Aprovado</v>
      </c>
      <c r="N301" t="str">
        <f>IF(AND(Tabela13[[#This Row],[credito_tomado]]&gt;50000,Tabela13[[#This Row],[flag_inadimplente]]="Sim"),"Negado","Aprovado")</f>
        <v>Aprovado</v>
      </c>
      <c r="O301" s="4">
        <f>IF(AND(Tabela13[[#This Row],[analise_risco]]="Negado",Tabela13[[#This Row],[analise_credito]]="Negado"),0,IF(Tabela13[[#This Row],[status]]="Ativo",Tabela13[[#This Row],[valor_solicitado]]*8%,0))</f>
        <v>1680</v>
      </c>
      <c r="P301" s="4">
        <v>21000</v>
      </c>
    </row>
    <row r="302" spans="1:16">
      <c r="A302" t="s">
        <v>71</v>
      </c>
      <c r="B302" t="s">
        <v>664</v>
      </c>
      <c r="C302" s="2" t="s">
        <v>665</v>
      </c>
      <c r="D302" s="24">
        <v>33</v>
      </c>
      <c r="E302" s="3">
        <v>34027</v>
      </c>
      <c r="F302" t="s">
        <v>115</v>
      </c>
      <c r="G302" t="s">
        <v>75</v>
      </c>
      <c r="H302" s="4">
        <v>3400</v>
      </c>
      <c r="I302" s="4">
        <v>0</v>
      </c>
      <c r="J302" s="5" t="s">
        <v>45</v>
      </c>
      <c r="K302" s="6">
        <v>13</v>
      </c>
      <c r="L302" t="str" cm="1">
        <f t="array" ref="L302">_xlfn.IFS(K302&gt;=26,"Alto",K302&lt;11,"Baixo",K302&lt;26,"Médio")</f>
        <v>Médio</v>
      </c>
      <c r="M302" t="str">
        <f>IF(AND(Tabela13[[#This Row],[flag_inadimplente]]="Sim",Tabela13[[#This Row],[nivel_risco]]="Alto"),"Negado","Aprovado")</f>
        <v>Aprovado</v>
      </c>
      <c r="N302" t="str">
        <f>IF(AND(Tabela13[[#This Row],[credito_tomado]]&gt;50000,Tabela13[[#This Row],[flag_inadimplente]]="Sim"),"Negado","Aprovado")</f>
        <v>Aprovado</v>
      </c>
      <c r="O302" s="4">
        <f>IF(AND(Tabela13[[#This Row],[analise_risco]]="Negado",Tabela13[[#This Row],[analise_credito]]="Negado"),0,IF(Tabela13[[#This Row],[status]]="Ativo",Tabela13[[#This Row],[valor_solicitado]]*8%,0))</f>
        <v>5600</v>
      </c>
      <c r="P302" s="4">
        <v>70000</v>
      </c>
    </row>
    <row r="303" spans="1:16">
      <c r="A303" t="s">
        <v>85</v>
      </c>
      <c r="B303" t="s">
        <v>666</v>
      </c>
      <c r="C303" s="2" t="s">
        <v>667</v>
      </c>
      <c r="D303" s="24">
        <v>33</v>
      </c>
      <c r="E303" s="3">
        <v>33902</v>
      </c>
      <c r="F303" t="s">
        <v>78</v>
      </c>
      <c r="G303" t="s">
        <v>79</v>
      </c>
      <c r="H303" s="4">
        <v>12500</v>
      </c>
      <c r="I303" s="4">
        <v>51500</v>
      </c>
      <c r="J303" s="5" t="s">
        <v>46</v>
      </c>
      <c r="K303" s="6">
        <v>44</v>
      </c>
      <c r="L303" t="str" cm="1">
        <f t="array" ref="L303">_xlfn.IFS(K303&gt;=26,"Alto",K303&lt;11,"Baixo",K303&lt;26,"Médio")</f>
        <v>Alto</v>
      </c>
      <c r="M303" t="str">
        <f>IF(AND(Tabela13[[#This Row],[flag_inadimplente]]="Sim",Tabela13[[#This Row],[nivel_risco]]="Alto"),"Negado","Aprovado")</f>
        <v>Negado</v>
      </c>
      <c r="N303" t="str">
        <f>IF(AND(Tabela13[[#This Row],[credito_tomado]]&gt;50000,Tabela13[[#This Row],[flag_inadimplente]]="Sim"),"Negado","Aprovado")</f>
        <v>Negado</v>
      </c>
      <c r="O303" s="4">
        <f>IF(AND(Tabela13[[#This Row],[analise_risco]]="Negado",Tabela13[[#This Row],[analise_credito]]="Negado"),0,IF(Tabela13[[#This Row],[status]]="Ativo",Tabela13[[#This Row],[valor_solicitado]]*8%,0))</f>
        <v>0</v>
      </c>
      <c r="P303" s="4">
        <v>24000</v>
      </c>
    </row>
    <row r="304" spans="1:16">
      <c r="A304" t="s">
        <v>85</v>
      </c>
      <c r="B304" t="s">
        <v>668</v>
      </c>
      <c r="C304" s="2" t="s">
        <v>669</v>
      </c>
      <c r="D304" s="24">
        <v>35</v>
      </c>
      <c r="E304" s="3">
        <v>33204</v>
      </c>
      <c r="F304" t="s">
        <v>270</v>
      </c>
      <c r="G304" t="s">
        <v>98</v>
      </c>
      <c r="H304" s="4">
        <v>17600</v>
      </c>
      <c r="I304" s="4">
        <v>44000</v>
      </c>
      <c r="J304" s="5" t="s">
        <v>45</v>
      </c>
      <c r="K304" s="6">
        <v>22</v>
      </c>
      <c r="L304" t="str" cm="1">
        <f t="array" ref="L304">_xlfn.IFS(K304&gt;=26,"Alto",K304&lt;11,"Baixo",K304&lt;26,"Médio")</f>
        <v>Médio</v>
      </c>
      <c r="M304" t="str">
        <f>IF(AND(Tabela13[[#This Row],[flag_inadimplente]]="Sim",Tabela13[[#This Row],[nivel_risco]]="Alto"),"Negado","Aprovado")</f>
        <v>Aprovado</v>
      </c>
      <c r="N304" t="str">
        <f>IF(AND(Tabela13[[#This Row],[credito_tomado]]&gt;50000,Tabela13[[#This Row],[flag_inadimplente]]="Sim"),"Negado","Aprovado")</f>
        <v>Aprovado</v>
      </c>
      <c r="O304" s="4">
        <f>IF(AND(Tabela13[[#This Row],[analise_risco]]="Negado",Tabela13[[#This Row],[analise_credito]]="Negado"),0,IF(Tabela13[[#This Row],[status]]="Ativo",Tabela13[[#This Row],[valor_solicitado]]*8%,0))</f>
        <v>0</v>
      </c>
      <c r="P304" s="4">
        <v>56500</v>
      </c>
    </row>
    <row r="305" spans="1:16">
      <c r="A305" t="s">
        <v>71</v>
      </c>
      <c r="B305" t="s">
        <v>670</v>
      </c>
      <c r="C305" s="2" t="s">
        <v>671</v>
      </c>
      <c r="D305" s="24">
        <v>71</v>
      </c>
      <c r="E305" s="3">
        <v>20275</v>
      </c>
      <c r="F305" t="s">
        <v>139</v>
      </c>
      <c r="G305" t="s">
        <v>140</v>
      </c>
      <c r="H305" s="4">
        <v>14200</v>
      </c>
      <c r="I305" s="4">
        <v>51000</v>
      </c>
      <c r="J305" s="5" t="s">
        <v>45</v>
      </c>
      <c r="K305" s="6">
        <v>10</v>
      </c>
      <c r="L305" t="str" cm="1">
        <f t="array" ref="L305">_xlfn.IFS(K305&gt;=26,"Alto",K305&lt;11,"Baixo",K305&lt;26,"Médio")</f>
        <v>Baixo</v>
      </c>
      <c r="M305" t="str">
        <f>IF(AND(Tabela13[[#This Row],[flag_inadimplente]]="Sim",Tabela13[[#This Row],[nivel_risco]]="Alto"),"Negado","Aprovado")</f>
        <v>Aprovado</v>
      </c>
      <c r="N305" t="str">
        <f>IF(AND(Tabela13[[#This Row],[credito_tomado]]&gt;50000,Tabela13[[#This Row],[flag_inadimplente]]="Sim"),"Negado","Aprovado")</f>
        <v>Aprovado</v>
      </c>
      <c r="O305" s="4">
        <f>IF(AND(Tabela13[[#This Row],[analise_risco]]="Negado",Tabela13[[#This Row],[analise_credito]]="Negado"),0,IF(Tabela13[[#This Row],[status]]="Ativo",Tabela13[[#This Row],[valor_solicitado]]*8%,0))</f>
        <v>7240</v>
      </c>
      <c r="P305" s="4">
        <v>90500</v>
      </c>
    </row>
    <row r="306" spans="1:16">
      <c r="A306" t="s">
        <v>71</v>
      </c>
      <c r="B306" t="s">
        <v>672</v>
      </c>
      <c r="C306" s="2" t="s">
        <v>673</v>
      </c>
      <c r="D306" s="24">
        <v>69</v>
      </c>
      <c r="E306" s="3">
        <v>20943</v>
      </c>
      <c r="F306" t="s">
        <v>122</v>
      </c>
      <c r="G306" t="s">
        <v>123</v>
      </c>
      <c r="H306" s="4">
        <v>13800</v>
      </c>
      <c r="I306" s="4">
        <v>62000</v>
      </c>
      <c r="J306" s="5" t="s">
        <v>45</v>
      </c>
      <c r="K306" s="6">
        <v>31</v>
      </c>
      <c r="L306" t="str" cm="1">
        <f t="array" ref="L306">_xlfn.IFS(K306&gt;=26,"Alto",K306&lt;11,"Baixo",K306&lt;26,"Médio")</f>
        <v>Alto</v>
      </c>
      <c r="M306" t="str">
        <f>IF(AND(Tabela13[[#This Row],[flag_inadimplente]]="Sim",Tabela13[[#This Row],[nivel_risco]]="Alto"),"Negado","Aprovado")</f>
        <v>Aprovado</v>
      </c>
      <c r="N306" t="str">
        <f>IF(AND(Tabela13[[#This Row],[credito_tomado]]&gt;50000,Tabela13[[#This Row],[flag_inadimplente]]="Sim"),"Negado","Aprovado")</f>
        <v>Aprovado</v>
      </c>
      <c r="O306" s="4">
        <f>IF(AND(Tabela13[[#This Row],[analise_risco]]="Negado",Tabela13[[#This Row],[analise_credito]]="Negado"),0,IF(Tabela13[[#This Row],[status]]="Ativo",Tabela13[[#This Row],[valor_solicitado]]*8%,0))</f>
        <v>4840</v>
      </c>
      <c r="P306" s="4">
        <v>60500</v>
      </c>
    </row>
    <row r="307" spans="1:16">
      <c r="A307" t="s">
        <v>85</v>
      </c>
      <c r="B307" t="s">
        <v>674</v>
      </c>
      <c r="C307" s="2" t="s">
        <v>675</v>
      </c>
      <c r="D307" s="24">
        <v>24</v>
      </c>
      <c r="E307" s="3">
        <v>37313</v>
      </c>
      <c r="F307" t="s">
        <v>216</v>
      </c>
      <c r="G307" t="s">
        <v>94</v>
      </c>
      <c r="H307" s="4">
        <v>11000</v>
      </c>
      <c r="I307" s="4">
        <v>76500</v>
      </c>
      <c r="J307" s="5" t="s">
        <v>46</v>
      </c>
      <c r="K307" s="6">
        <v>33</v>
      </c>
      <c r="L307" t="str" cm="1">
        <f t="array" ref="L307">_xlfn.IFS(K307&gt;=26,"Alto",K307&lt;11,"Baixo",K307&lt;26,"Médio")</f>
        <v>Alto</v>
      </c>
      <c r="M307" t="str">
        <f>IF(AND(Tabela13[[#This Row],[flag_inadimplente]]="Sim",Tabela13[[#This Row],[nivel_risco]]="Alto"),"Negado","Aprovado")</f>
        <v>Negado</v>
      </c>
      <c r="N307" t="str">
        <f>IF(AND(Tabela13[[#This Row],[credito_tomado]]&gt;50000,Tabela13[[#This Row],[flag_inadimplente]]="Sim"),"Negado","Aprovado")</f>
        <v>Negado</v>
      </c>
      <c r="O307" s="4">
        <f>IF(AND(Tabela13[[#This Row],[analise_risco]]="Negado",Tabela13[[#This Row],[analise_credito]]="Negado"),0,IF(Tabela13[[#This Row],[status]]="Ativo",Tabela13[[#This Row],[valor_solicitado]]*8%,0))</f>
        <v>0</v>
      </c>
      <c r="P307" s="4">
        <v>26000</v>
      </c>
    </row>
    <row r="308" spans="1:16">
      <c r="A308" t="s">
        <v>71</v>
      </c>
      <c r="B308" t="s">
        <v>676</v>
      </c>
      <c r="C308" s="2" t="s">
        <v>677</v>
      </c>
      <c r="D308" s="24">
        <v>34</v>
      </c>
      <c r="E308" s="3">
        <v>33835</v>
      </c>
      <c r="F308" t="s">
        <v>78</v>
      </c>
      <c r="G308" t="s">
        <v>79</v>
      </c>
      <c r="H308" s="4">
        <v>5100</v>
      </c>
      <c r="I308" s="4">
        <v>17000</v>
      </c>
      <c r="J308" s="5" t="s">
        <v>45</v>
      </c>
      <c r="K308" s="6">
        <v>3</v>
      </c>
      <c r="L308" t="str" cm="1">
        <f t="array" ref="L308">_xlfn.IFS(K308&gt;=26,"Alto",K308&lt;11,"Baixo",K308&lt;26,"Médio")</f>
        <v>Baixo</v>
      </c>
      <c r="M308" t="str">
        <f>IF(AND(Tabela13[[#This Row],[flag_inadimplente]]="Sim",Tabela13[[#This Row],[nivel_risco]]="Alto"),"Negado","Aprovado")</f>
        <v>Aprovado</v>
      </c>
      <c r="N308" t="str">
        <f>IF(AND(Tabela13[[#This Row],[credito_tomado]]&gt;50000,Tabela13[[#This Row],[flag_inadimplente]]="Sim"),"Negado","Aprovado")</f>
        <v>Aprovado</v>
      </c>
      <c r="O308" s="4">
        <f>IF(AND(Tabela13[[#This Row],[analise_risco]]="Negado",Tabela13[[#This Row],[analise_credito]]="Negado"),0,IF(Tabela13[[#This Row],[status]]="Ativo",Tabela13[[#This Row],[valor_solicitado]]*8%,0))</f>
        <v>360</v>
      </c>
      <c r="P308" s="4">
        <v>4500</v>
      </c>
    </row>
    <row r="309" spans="1:16">
      <c r="A309" t="s">
        <v>71</v>
      </c>
      <c r="B309" t="s">
        <v>678</v>
      </c>
      <c r="C309" s="2" t="s">
        <v>679</v>
      </c>
      <c r="D309" s="24">
        <v>64</v>
      </c>
      <c r="E309" s="3">
        <v>22886</v>
      </c>
      <c r="F309" t="s">
        <v>101</v>
      </c>
      <c r="G309" t="s">
        <v>102</v>
      </c>
      <c r="H309" s="4">
        <v>8800</v>
      </c>
      <c r="I309" s="4">
        <v>66000</v>
      </c>
      <c r="J309" s="5" t="s">
        <v>45</v>
      </c>
      <c r="K309" s="6">
        <v>28</v>
      </c>
      <c r="L309" t="str" cm="1">
        <f t="array" ref="L309">_xlfn.IFS(K309&gt;=26,"Alto",K309&lt;11,"Baixo",K309&lt;26,"Médio")</f>
        <v>Alto</v>
      </c>
      <c r="M309" t="str">
        <f>IF(AND(Tabela13[[#This Row],[flag_inadimplente]]="Sim",Tabela13[[#This Row],[nivel_risco]]="Alto"),"Negado","Aprovado")</f>
        <v>Aprovado</v>
      </c>
      <c r="N309" t="str">
        <f>IF(AND(Tabela13[[#This Row],[credito_tomado]]&gt;50000,Tabela13[[#This Row],[flag_inadimplente]]="Sim"),"Negado","Aprovado")</f>
        <v>Aprovado</v>
      </c>
      <c r="O309" s="4">
        <f>IF(AND(Tabela13[[#This Row],[analise_risco]]="Negado",Tabela13[[#This Row],[analise_credito]]="Negado"),0,IF(Tabela13[[#This Row],[status]]="Ativo",Tabela13[[#This Row],[valor_solicitado]]*8%,0))</f>
        <v>400</v>
      </c>
      <c r="P309" s="4">
        <v>5000</v>
      </c>
    </row>
    <row r="310" spans="1:16">
      <c r="A310" t="s">
        <v>71</v>
      </c>
      <c r="B310" t="s">
        <v>680</v>
      </c>
      <c r="C310" s="2" t="s">
        <v>681</v>
      </c>
      <c r="D310" s="24" t="s">
        <v>80</v>
      </c>
      <c r="E310" s="3">
        <v>34769</v>
      </c>
      <c r="F310" t="s">
        <v>139</v>
      </c>
      <c r="G310" t="s">
        <v>140</v>
      </c>
      <c r="H310" s="4">
        <v>9000</v>
      </c>
      <c r="I310" s="4">
        <v>66000</v>
      </c>
      <c r="J310" s="5" t="s">
        <v>45</v>
      </c>
      <c r="K310" s="6">
        <v>24</v>
      </c>
      <c r="L310" t="str" cm="1">
        <f t="array" ref="L310">_xlfn.IFS(K310&gt;=26,"Alto",K310&lt;11,"Baixo",K310&lt;26,"Médio")</f>
        <v>Médio</v>
      </c>
      <c r="M310" t="str">
        <f>IF(AND(Tabela13[[#This Row],[flag_inadimplente]]="Sim",Tabela13[[#This Row],[nivel_risco]]="Alto"),"Negado","Aprovado")</f>
        <v>Aprovado</v>
      </c>
      <c r="N310" t="str">
        <f>IF(AND(Tabela13[[#This Row],[credito_tomado]]&gt;50000,Tabela13[[#This Row],[flag_inadimplente]]="Sim"),"Negado","Aprovado")</f>
        <v>Aprovado</v>
      </c>
      <c r="O310" s="4">
        <f>IF(AND(Tabela13[[#This Row],[analise_risco]]="Negado",Tabela13[[#This Row],[analise_credito]]="Negado"),0,IF(Tabela13[[#This Row],[status]]="Ativo",Tabela13[[#This Row],[valor_solicitado]]*8%,0))</f>
        <v>5760</v>
      </c>
      <c r="P310" s="4">
        <v>72000</v>
      </c>
    </row>
    <row r="311" spans="1:16">
      <c r="A311" t="s">
        <v>85</v>
      </c>
      <c r="B311" t="s">
        <v>682</v>
      </c>
      <c r="C311" s="2" t="s">
        <v>683</v>
      </c>
      <c r="D311" s="24">
        <v>36</v>
      </c>
      <c r="E311" s="3">
        <v>32914</v>
      </c>
      <c r="F311" t="s">
        <v>188</v>
      </c>
      <c r="G311" t="s">
        <v>195</v>
      </c>
      <c r="H311" s="4">
        <v>27600</v>
      </c>
      <c r="I311" s="4">
        <v>37000</v>
      </c>
      <c r="J311" s="5" t="s">
        <v>45</v>
      </c>
      <c r="K311" s="6">
        <v>15</v>
      </c>
      <c r="L311" t="str" cm="1">
        <f t="array" ref="L311">_xlfn.IFS(K311&gt;=26,"Alto",K311&lt;11,"Baixo",K311&lt;26,"Médio")</f>
        <v>Médio</v>
      </c>
      <c r="M311" t="str">
        <f>IF(AND(Tabela13[[#This Row],[flag_inadimplente]]="Sim",Tabela13[[#This Row],[nivel_risco]]="Alto"),"Negado","Aprovado")</f>
        <v>Aprovado</v>
      </c>
      <c r="N311" t="str">
        <f>IF(AND(Tabela13[[#This Row],[credito_tomado]]&gt;50000,Tabela13[[#This Row],[flag_inadimplente]]="Sim"),"Negado","Aprovado")</f>
        <v>Aprovado</v>
      </c>
      <c r="O311" s="4">
        <f>IF(AND(Tabela13[[#This Row],[analise_risco]]="Negado",Tabela13[[#This Row],[analise_credito]]="Negado"),0,IF(Tabela13[[#This Row],[status]]="Ativo",Tabela13[[#This Row],[valor_solicitado]]*8%,0))</f>
        <v>0</v>
      </c>
      <c r="P311" s="4">
        <v>41500</v>
      </c>
    </row>
    <row r="312" spans="1:16">
      <c r="A312" t="s">
        <v>71</v>
      </c>
      <c r="B312" t="s">
        <v>684</v>
      </c>
      <c r="C312" s="2" t="s">
        <v>685</v>
      </c>
      <c r="D312" s="24">
        <v>26</v>
      </c>
      <c r="E312" s="3">
        <v>36622</v>
      </c>
      <c r="F312" t="s">
        <v>90</v>
      </c>
      <c r="G312" t="s">
        <v>90</v>
      </c>
      <c r="H312" s="4">
        <v>22900</v>
      </c>
      <c r="I312" s="4">
        <v>65500</v>
      </c>
      <c r="J312" s="5" t="s">
        <v>686</v>
      </c>
      <c r="K312" s="6">
        <v>40</v>
      </c>
      <c r="L312" t="str" cm="1">
        <f t="array" ref="L312">_xlfn.IFS(K312&gt;=26,"Alto",K312&lt;11,"Baixo",K312&lt;26,"Médio")</f>
        <v>Alto</v>
      </c>
      <c r="M312" t="str">
        <f>IF(AND(Tabela13[[#This Row],[flag_inadimplente]]="Sim",Tabela13[[#This Row],[nivel_risco]]="Alto"),"Negado","Aprovado")</f>
        <v>Negado</v>
      </c>
      <c r="N312" t="str">
        <f>IF(AND(Tabela13[[#This Row],[credito_tomado]]&gt;50000,Tabela13[[#This Row],[flag_inadimplente]]="Sim"),"Negado","Aprovado")</f>
        <v>Negado</v>
      </c>
      <c r="O312" s="4">
        <f>IF(AND(Tabela13[[#This Row],[analise_risco]]="Negado",Tabela13[[#This Row],[analise_credito]]="Negado"),0,IF(Tabela13[[#This Row],[status]]="Ativo",Tabela13[[#This Row],[valor_solicitado]]*8%,0))</f>
        <v>0</v>
      </c>
      <c r="P312" s="4">
        <v>95500</v>
      </c>
    </row>
    <row r="313" spans="1:16">
      <c r="A313" t="s">
        <v>71</v>
      </c>
      <c r="B313" t="s">
        <v>687</v>
      </c>
      <c r="C313" s="2" t="s">
        <v>688</v>
      </c>
      <c r="D313" s="24">
        <v>19</v>
      </c>
      <c r="E313" s="3">
        <v>39209</v>
      </c>
      <c r="F313" t="s">
        <v>298</v>
      </c>
      <c r="G313" t="s">
        <v>79</v>
      </c>
      <c r="H313" s="4">
        <v>7200</v>
      </c>
      <c r="I313" s="4">
        <v>16000</v>
      </c>
      <c r="J313" s="5" t="s">
        <v>45</v>
      </c>
      <c r="K313" s="6">
        <v>5</v>
      </c>
      <c r="L313" t="str" cm="1">
        <f t="array" ref="L313">_xlfn.IFS(K313&gt;=26,"Alto",K313&lt;11,"Baixo",K313&lt;26,"Médio")</f>
        <v>Baixo</v>
      </c>
      <c r="M313" t="str">
        <f>IF(AND(Tabela13[[#This Row],[flag_inadimplente]]="Sim",Tabela13[[#This Row],[nivel_risco]]="Alto"),"Negado","Aprovado")</f>
        <v>Aprovado</v>
      </c>
      <c r="N313" t="str">
        <f>IF(AND(Tabela13[[#This Row],[credito_tomado]]&gt;50000,Tabela13[[#This Row],[flag_inadimplente]]="Sim"),"Negado","Aprovado")</f>
        <v>Aprovado</v>
      </c>
      <c r="O313" s="4">
        <f>IF(AND(Tabela13[[#This Row],[analise_risco]]="Negado",Tabela13[[#This Row],[analise_credito]]="Negado"),0,IF(Tabela13[[#This Row],[status]]="Ativo",Tabela13[[#This Row],[valor_solicitado]]*8%,0))</f>
        <v>4160</v>
      </c>
      <c r="P313" s="4">
        <v>52000</v>
      </c>
    </row>
    <row r="314" spans="1:16">
      <c r="A314" t="s">
        <v>71</v>
      </c>
      <c r="B314" t="s">
        <v>689</v>
      </c>
      <c r="C314" s="2" t="s">
        <v>690</v>
      </c>
      <c r="D314" s="24">
        <v>71</v>
      </c>
      <c r="E314" s="3">
        <v>20187</v>
      </c>
      <c r="F314" t="s">
        <v>115</v>
      </c>
      <c r="G314" t="s">
        <v>75</v>
      </c>
      <c r="H314" s="4">
        <v>29200</v>
      </c>
      <c r="I314" s="4">
        <v>73500</v>
      </c>
      <c r="J314" s="5" t="s">
        <v>45</v>
      </c>
      <c r="K314" s="6">
        <v>2</v>
      </c>
      <c r="L314" t="str" cm="1">
        <f t="array" ref="L314">_xlfn.IFS(K314&gt;=26,"Alto",K314&lt;11,"Baixo",K314&lt;26,"Médio")</f>
        <v>Baixo</v>
      </c>
      <c r="M314" t="str">
        <f>IF(AND(Tabela13[[#This Row],[flag_inadimplente]]="Sim",Tabela13[[#This Row],[nivel_risco]]="Alto"),"Negado","Aprovado")</f>
        <v>Aprovado</v>
      </c>
      <c r="N314" t="str">
        <f>IF(AND(Tabela13[[#This Row],[credito_tomado]]&gt;50000,Tabela13[[#This Row],[flag_inadimplente]]="Sim"),"Negado","Aprovado")</f>
        <v>Aprovado</v>
      </c>
      <c r="O314" s="4">
        <f>IF(AND(Tabela13[[#This Row],[analise_risco]]="Negado",Tabela13[[#This Row],[analise_credito]]="Negado"),0,IF(Tabela13[[#This Row],[status]]="Ativo",Tabela13[[#This Row],[valor_solicitado]]*8%,0))</f>
        <v>2640</v>
      </c>
      <c r="P314" s="4">
        <v>33000</v>
      </c>
    </row>
    <row r="315" spans="1:16">
      <c r="A315" t="s">
        <v>85</v>
      </c>
      <c r="B315" t="s">
        <v>691</v>
      </c>
      <c r="C315" s="2" t="s">
        <v>692</v>
      </c>
      <c r="D315" s="24">
        <v>74</v>
      </c>
      <c r="E315" s="3">
        <v>19073</v>
      </c>
      <c r="F315" t="s">
        <v>139</v>
      </c>
      <c r="G315" s="7" t="s">
        <v>80</v>
      </c>
      <c r="H315" s="4">
        <v>7100</v>
      </c>
      <c r="I315" s="4">
        <v>61500</v>
      </c>
      <c r="J315" s="5" t="s">
        <v>45</v>
      </c>
      <c r="K315" s="6">
        <v>1</v>
      </c>
      <c r="L315" t="str" cm="1">
        <f t="array" ref="L315">_xlfn.IFS(K315&gt;=26,"Alto",K315&lt;11,"Baixo",K315&lt;26,"Médio")</f>
        <v>Baixo</v>
      </c>
      <c r="M315" t="str">
        <f>IF(AND(Tabela13[[#This Row],[flag_inadimplente]]="Sim",Tabela13[[#This Row],[nivel_risco]]="Alto"),"Negado","Aprovado")</f>
        <v>Aprovado</v>
      </c>
      <c r="N315" t="str">
        <f>IF(AND(Tabela13[[#This Row],[credito_tomado]]&gt;50000,Tabela13[[#This Row],[flag_inadimplente]]="Sim"),"Negado","Aprovado")</f>
        <v>Aprovado</v>
      </c>
      <c r="O315" s="4">
        <f>IF(AND(Tabela13[[#This Row],[analise_risco]]="Negado",Tabela13[[#This Row],[analise_credito]]="Negado"),0,IF(Tabela13[[#This Row],[status]]="Ativo",Tabela13[[#This Row],[valor_solicitado]]*8%,0))</f>
        <v>0</v>
      </c>
      <c r="P315" s="4">
        <v>50500</v>
      </c>
    </row>
    <row r="316" spans="1:16">
      <c r="A316" t="s">
        <v>71</v>
      </c>
      <c r="B316" t="s">
        <v>693</v>
      </c>
      <c r="C316" s="2" t="s">
        <v>694</v>
      </c>
      <c r="D316" s="24">
        <v>53</v>
      </c>
      <c r="E316" s="3">
        <v>26812</v>
      </c>
      <c r="F316" t="s">
        <v>74</v>
      </c>
      <c r="G316" t="s">
        <v>75</v>
      </c>
      <c r="H316" s="4">
        <v>27800</v>
      </c>
      <c r="I316" s="4">
        <v>52000</v>
      </c>
      <c r="J316" s="5" t="s">
        <v>45</v>
      </c>
      <c r="K316" s="6">
        <v>43</v>
      </c>
      <c r="L316" t="str" cm="1">
        <f t="array" ref="L316">_xlfn.IFS(K316&gt;=26,"Alto",K316&lt;11,"Baixo",K316&lt;26,"Médio")</f>
        <v>Alto</v>
      </c>
      <c r="M316" t="str">
        <f>IF(AND(Tabela13[[#This Row],[flag_inadimplente]]="Sim",Tabela13[[#This Row],[nivel_risco]]="Alto"),"Negado","Aprovado")</f>
        <v>Aprovado</v>
      </c>
      <c r="N316" t="str">
        <f>IF(AND(Tabela13[[#This Row],[credito_tomado]]&gt;50000,Tabela13[[#This Row],[flag_inadimplente]]="Sim"),"Negado","Aprovado")</f>
        <v>Aprovado</v>
      </c>
      <c r="O316" s="4">
        <f>IF(AND(Tabela13[[#This Row],[analise_risco]]="Negado",Tabela13[[#This Row],[analise_credito]]="Negado"),0,IF(Tabela13[[#This Row],[status]]="Ativo",Tabela13[[#This Row],[valor_solicitado]]*8%,0))</f>
        <v>7480</v>
      </c>
      <c r="P316" s="4">
        <v>93500</v>
      </c>
    </row>
    <row r="317" spans="1:16">
      <c r="A317" t="s">
        <v>71</v>
      </c>
      <c r="B317" t="s">
        <v>695</v>
      </c>
      <c r="C317" s="2" t="s">
        <v>696</v>
      </c>
      <c r="D317" s="24">
        <v>55</v>
      </c>
      <c r="E317" s="3">
        <v>25844</v>
      </c>
      <c r="F317" t="s">
        <v>78</v>
      </c>
      <c r="G317" t="s">
        <v>79</v>
      </c>
      <c r="H317" s="4">
        <v>17400</v>
      </c>
      <c r="I317" s="4">
        <v>75500</v>
      </c>
      <c r="J317" s="5" t="s">
        <v>45</v>
      </c>
      <c r="K317" s="6">
        <v>9</v>
      </c>
      <c r="L317" t="str" cm="1">
        <f t="array" ref="L317">_xlfn.IFS(K317&gt;=26,"Alto",K317&lt;11,"Baixo",K317&lt;26,"Médio")</f>
        <v>Baixo</v>
      </c>
      <c r="M317" t="str">
        <f>IF(AND(Tabela13[[#This Row],[flag_inadimplente]]="Sim",Tabela13[[#This Row],[nivel_risco]]="Alto"),"Negado","Aprovado")</f>
        <v>Aprovado</v>
      </c>
      <c r="N317" t="str">
        <f>IF(AND(Tabela13[[#This Row],[credito_tomado]]&gt;50000,Tabela13[[#This Row],[flag_inadimplente]]="Sim"),"Negado","Aprovado")</f>
        <v>Aprovado</v>
      </c>
      <c r="O317" s="4">
        <f>IF(AND(Tabela13[[#This Row],[analise_risco]]="Negado",Tabela13[[#This Row],[analise_credito]]="Negado"),0,IF(Tabela13[[#This Row],[status]]="Ativo",Tabela13[[#This Row],[valor_solicitado]]*8%,0))</f>
        <v>4160</v>
      </c>
      <c r="P317" s="4">
        <v>52000</v>
      </c>
    </row>
    <row r="318" spans="1:16">
      <c r="A318" t="s">
        <v>71</v>
      </c>
      <c r="B318" t="s">
        <v>697</v>
      </c>
      <c r="C318" s="2" t="s">
        <v>698</v>
      </c>
      <c r="D318" s="24">
        <v>28</v>
      </c>
      <c r="E318" s="3">
        <v>35993</v>
      </c>
      <c r="F318" t="s">
        <v>139</v>
      </c>
      <c r="G318" t="s">
        <v>140</v>
      </c>
      <c r="H318" s="4">
        <v>13400</v>
      </c>
      <c r="I318" s="4">
        <v>54000</v>
      </c>
      <c r="J318" s="5" t="s">
        <v>45</v>
      </c>
      <c r="K318" s="6">
        <v>15</v>
      </c>
      <c r="L318" t="str" cm="1">
        <f t="array" ref="L318">_xlfn.IFS(K318&gt;=26,"Alto",K318&lt;11,"Baixo",K318&lt;26,"Médio")</f>
        <v>Médio</v>
      </c>
      <c r="M318" t="str">
        <f>IF(AND(Tabela13[[#This Row],[flag_inadimplente]]="Sim",Tabela13[[#This Row],[nivel_risco]]="Alto"),"Negado","Aprovado")</f>
        <v>Aprovado</v>
      </c>
      <c r="N318" t="str">
        <f>IF(AND(Tabela13[[#This Row],[credito_tomado]]&gt;50000,Tabela13[[#This Row],[flag_inadimplente]]="Sim"),"Negado","Aprovado")</f>
        <v>Aprovado</v>
      </c>
      <c r="O318" s="4">
        <f>IF(AND(Tabela13[[#This Row],[analise_risco]]="Negado",Tabela13[[#This Row],[analise_credito]]="Negado"),0,IF(Tabela13[[#This Row],[status]]="Ativo",Tabela13[[#This Row],[valor_solicitado]]*8%,0))</f>
        <v>7920</v>
      </c>
      <c r="P318" s="4">
        <v>99000</v>
      </c>
    </row>
    <row r="319" spans="1:16">
      <c r="A319" t="s">
        <v>71</v>
      </c>
      <c r="B319" t="s">
        <v>699</v>
      </c>
      <c r="C319" s="2" t="s">
        <v>700</v>
      </c>
      <c r="D319" s="24">
        <v>74</v>
      </c>
      <c r="E319" s="3">
        <v>19131</v>
      </c>
      <c r="F319" t="s">
        <v>152</v>
      </c>
      <c r="G319" t="s">
        <v>123</v>
      </c>
      <c r="H319" s="4">
        <v>20700</v>
      </c>
      <c r="I319" s="4">
        <v>17500</v>
      </c>
      <c r="J319" s="5" t="s">
        <v>45</v>
      </c>
      <c r="K319" s="6">
        <v>35</v>
      </c>
      <c r="L319" t="str" cm="1">
        <f t="array" ref="L319">_xlfn.IFS(K319&gt;=26,"Alto",K319&lt;11,"Baixo",K319&lt;26,"Médio")</f>
        <v>Alto</v>
      </c>
      <c r="M319" t="str">
        <f>IF(AND(Tabela13[[#This Row],[flag_inadimplente]]="Sim",Tabela13[[#This Row],[nivel_risco]]="Alto"),"Negado","Aprovado")</f>
        <v>Aprovado</v>
      </c>
      <c r="N319" t="str">
        <f>IF(AND(Tabela13[[#This Row],[credito_tomado]]&gt;50000,Tabela13[[#This Row],[flag_inadimplente]]="Sim"),"Negado","Aprovado")</f>
        <v>Aprovado</v>
      </c>
      <c r="O319" s="4">
        <f>IF(AND(Tabela13[[#This Row],[analise_risco]]="Negado",Tabela13[[#This Row],[analise_credito]]="Negado"),0,IF(Tabela13[[#This Row],[status]]="Ativo",Tabela13[[#This Row],[valor_solicitado]]*8%,0))</f>
        <v>5200</v>
      </c>
      <c r="P319" s="4">
        <v>65000</v>
      </c>
    </row>
    <row r="320" spans="1:16">
      <c r="A320" t="s">
        <v>71</v>
      </c>
      <c r="B320" t="s">
        <v>699</v>
      </c>
      <c r="C320" s="2" t="s">
        <v>700</v>
      </c>
      <c r="D320" s="24">
        <v>74</v>
      </c>
      <c r="E320" s="3">
        <v>19131</v>
      </c>
      <c r="F320" t="s">
        <v>152</v>
      </c>
      <c r="G320" t="s">
        <v>123</v>
      </c>
      <c r="H320" s="4">
        <v>20700</v>
      </c>
      <c r="I320" s="4">
        <v>17500</v>
      </c>
      <c r="J320" s="5" t="s">
        <v>45</v>
      </c>
      <c r="K320" s="6">
        <v>35</v>
      </c>
      <c r="L320" t="str" cm="1">
        <f t="array" ref="L320">_xlfn.IFS(K320&gt;=26,"Alto",K320&lt;11,"Baixo",K320&lt;26,"Médio")</f>
        <v>Alto</v>
      </c>
      <c r="M320" t="str">
        <f>IF(AND(Tabela13[[#This Row],[flag_inadimplente]]="Sim",Tabela13[[#This Row],[nivel_risco]]="Alto"),"Negado","Aprovado")</f>
        <v>Aprovado</v>
      </c>
      <c r="N320" t="str">
        <f>IF(AND(Tabela13[[#This Row],[credito_tomado]]&gt;50000,Tabela13[[#This Row],[flag_inadimplente]]="Sim"),"Negado","Aprovado")</f>
        <v>Aprovado</v>
      </c>
      <c r="O320" s="4">
        <f>IF(AND(Tabela13[[#This Row],[analise_risco]]="Negado",Tabela13[[#This Row],[analise_credito]]="Negado"),0,IF(Tabela13[[#This Row],[status]]="Ativo",Tabela13[[#This Row],[valor_solicitado]]*8%,0))</f>
        <v>5480</v>
      </c>
      <c r="P320" s="4">
        <v>68500</v>
      </c>
    </row>
    <row r="321" spans="1:16">
      <c r="A321" t="s">
        <v>71</v>
      </c>
      <c r="B321" t="s">
        <v>701</v>
      </c>
      <c r="C321" s="2" t="s">
        <v>702</v>
      </c>
      <c r="D321" s="24">
        <v>67</v>
      </c>
      <c r="E321" s="3">
        <v>21573</v>
      </c>
      <c r="F321" t="s">
        <v>188</v>
      </c>
      <c r="G321" t="s">
        <v>195</v>
      </c>
      <c r="H321" s="4">
        <v>6400</v>
      </c>
      <c r="I321" s="4">
        <v>1000</v>
      </c>
      <c r="J321" s="5" t="s">
        <v>45</v>
      </c>
      <c r="K321" s="6">
        <v>44</v>
      </c>
      <c r="L321" t="str" cm="1">
        <f t="array" ref="L321">_xlfn.IFS(K321&gt;=26,"Alto",K321&lt;11,"Baixo",K321&lt;26,"Médio")</f>
        <v>Alto</v>
      </c>
      <c r="M321" t="str">
        <f>IF(AND(Tabela13[[#This Row],[flag_inadimplente]]="Sim",Tabela13[[#This Row],[nivel_risco]]="Alto"),"Negado","Aprovado")</f>
        <v>Aprovado</v>
      </c>
      <c r="N321" t="str">
        <f>IF(AND(Tabela13[[#This Row],[credito_tomado]]&gt;50000,Tabela13[[#This Row],[flag_inadimplente]]="Sim"),"Negado","Aprovado")</f>
        <v>Aprovado</v>
      </c>
      <c r="O321" s="4">
        <f>IF(AND(Tabela13[[#This Row],[analise_risco]]="Negado",Tabela13[[#This Row],[analise_credito]]="Negado"),0,IF(Tabela13[[#This Row],[status]]="Ativo",Tabela13[[#This Row],[valor_solicitado]]*8%,0))</f>
        <v>4000</v>
      </c>
      <c r="P321" s="4">
        <v>50000</v>
      </c>
    </row>
    <row r="322" spans="1:16">
      <c r="A322" t="s">
        <v>71</v>
      </c>
      <c r="B322" t="s">
        <v>701</v>
      </c>
      <c r="C322" s="2" t="s">
        <v>703</v>
      </c>
      <c r="D322" s="24">
        <v>27</v>
      </c>
      <c r="E322" s="3">
        <v>36316</v>
      </c>
      <c r="F322" t="s">
        <v>149</v>
      </c>
      <c r="G322" t="s">
        <v>79</v>
      </c>
      <c r="H322" s="4">
        <v>10700</v>
      </c>
      <c r="I322" s="4">
        <v>60000</v>
      </c>
      <c r="J322" s="5" t="s">
        <v>45</v>
      </c>
      <c r="K322" s="6">
        <v>27</v>
      </c>
      <c r="L322" t="str" cm="1">
        <f t="array" ref="L322">_xlfn.IFS(K322&gt;=26,"Alto",K322&lt;11,"Baixo",K322&lt;26,"Médio")</f>
        <v>Alto</v>
      </c>
      <c r="M322" t="str">
        <f>IF(AND(Tabela13[[#This Row],[flag_inadimplente]]="Sim",Tabela13[[#This Row],[nivel_risco]]="Alto"),"Negado","Aprovado")</f>
        <v>Aprovado</v>
      </c>
      <c r="N322" t="str">
        <f>IF(AND(Tabela13[[#This Row],[credito_tomado]]&gt;50000,Tabela13[[#This Row],[flag_inadimplente]]="Sim"),"Negado","Aprovado")</f>
        <v>Aprovado</v>
      </c>
      <c r="O322" s="4">
        <f>IF(AND(Tabela13[[#This Row],[analise_risco]]="Negado",Tabela13[[#This Row],[analise_credito]]="Negado"),0,IF(Tabela13[[#This Row],[status]]="Ativo",Tabela13[[#This Row],[valor_solicitado]]*8%,0))</f>
        <v>3840</v>
      </c>
      <c r="P322" s="4">
        <v>48000</v>
      </c>
    </row>
    <row r="323" spans="1:16">
      <c r="A323" t="s">
        <v>85</v>
      </c>
      <c r="B323" t="s">
        <v>704</v>
      </c>
      <c r="C323" s="2" t="s">
        <v>705</v>
      </c>
      <c r="D323" s="24">
        <v>65</v>
      </c>
      <c r="E323" s="3">
        <v>22205</v>
      </c>
      <c r="F323" t="s">
        <v>97</v>
      </c>
      <c r="G323" t="s">
        <v>98</v>
      </c>
      <c r="H323" s="4">
        <v>19800</v>
      </c>
      <c r="I323" s="4">
        <v>78500</v>
      </c>
      <c r="J323" s="5" t="s">
        <v>45</v>
      </c>
      <c r="K323" s="6">
        <v>34</v>
      </c>
      <c r="L323" t="str" cm="1">
        <f t="array" ref="L323">_xlfn.IFS(K323&gt;=26,"Alto",K323&lt;11,"Baixo",K323&lt;26,"Médio")</f>
        <v>Alto</v>
      </c>
      <c r="M323" t="str">
        <f>IF(AND(Tabela13[[#This Row],[flag_inadimplente]]="Sim",Tabela13[[#This Row],[nivel_risco]]="Alto"),"Negado","Aprovado")</f>
        <v>Aprovado</v>
      </c>
      <c r="N323" t="str">
        <f>IF(AND(Tabela13[[#This Row],[credito_tomado]]&gt;50000,Tabela13[[#This Row],[flag_inadimplente]]="Sim"),"Negado","Aprovado")</f>
        <v>Aprovado</v>
      </c>
      <c r="O323" s="4">
        <f>IF(AND(Tabela13[[#This Row],[analise_risco]]="Negado",Tabela13[[#This Row],[analise_credito]]="Negado"),0,IF(Tabela13[[#This Row],[status]]="Ativo",Tabela13[[#This Row],[valor_solicitado]]*8%,0))</f>
        <v>0</v>
      </c>
      <c r="P323" s="4">
        <v>23000</v>
      </c>
    </row>
    <row r="324" spans="1:16">
      <c r="A324" t="s">
        <v>71</v>
      </c>
      <c r="B324" t="s">
        <v>706</v>
      </c>
      <c r="C324" s="2" t="s">
        <v>707</v>
      </c>
      <c r="D324" s="24">
        <v>53</v>
      </c>
      <c r="E324" s="3">
        <v>26631</v>
      </c>
      <c r="F324" t="s">
        <v>188</v>
      </c>
      <c r="G324" t="s">
        <v>195</v>
      </c>
      <c r="H324" s="4">
        <v>22700</v>
      </c>
      <c r="I324" s="4">
        <v>42500</v>
      </c>
      <c r="J324" s="5" t="s">
        <v>46</v>
      </c>
      <c r="K324" s="6">
        <v>25</v>
      </c>
      <c r="L324" t="str" cm="1">
        <f t="array" ref="L324">_xlfn.IFS(K324&gt;=26,"Alto",K324&lt;11,"Baixo",K324&lt;26,"Médio")</f>
        <v>Médio</v>
      </c>
      <c r="M324" t="str">
        <f>IF(AND(Tabela13[[#This Row],[flag_inadimplente]]="Sim",Tabela13[[#This Row],[nivel_risco]]="Alto"),"Negado","Aprovado")</f>
        <v>Aprovado</v>
      </c>
      <c r="N324" t="str">
        <f>IF(AND(Tabela13[[#This Row],[credito_tomado]]&gt;50000,Tabela13[[#This Row],[flag_inadimplente]]="Sim"),"Negado","Aprovado")</f>
        <v>Aprovado</v>
      </c>
      <c r="O324" s="4">
        <f>IF(AND(Tabela13[[#This Row],[analise_risco]]="Negado",Tabela13[[#This Row],[analise_credito]]="Negado"),0,IF(Tabela13[[#This Row],[status]]="Ativo",Tabela13[[#This Row],[valor_solicitado]]*8%,0))</f>
        <v>6880</v>
      </c>
      <c r="P324" s="4">
        <v>86000</v>
      </c>
    </row>
    <row r="325" spans="1:16">
      <c r="A325" t="s">
        <v>71</v>
      </c>
      <c r="B325" t="s">
        <v>708</v>
      </c>
      <c r="C325" s="2" t="s">
        <v>709</v>
      </c>
      <c r="D325" s="24" t="s">
        <v>80</v>
      </c>
      <c r="E325" s="3">
        <v>31337</v>
      </c>
      <c r="F325" t="s">
        <v>198</v>
      </c>
      <c r="G325" t="s">
        <v>84</v>
      </c>
      <c r="H325" s="4">
        <v>14000</v>
      </c>
      <c r="I325" s="4">
        <v>0</v>
      </c>
      <c r="J325" s="5" t="s">
        <v>45</v>
      </c>
      <c r="K325" s="6">
        <v>24</v>
      </c>
      <c r="L325" t="str" cm="1">
        <f t="array" ref="L325">_xlfn.IFS(K325&gt;=26,"Alto",K325&lt;11,"Baixo",K325&lt;26,"Médio")</f>
        <v>Médio</v>
      </c>
      <c r="M325" t="str">
        <f>IF(AND(Tabela13[[#This Row],[flag_inadimplente]]="Sim",Tabela13[[#This Row],[nivel_risco]]="Alto"),"Negado","Aprovado")</f>
        <v>Aprovado</v>
      </c>
      <c r="N325" t="str">
        <f>IF(AND(Tabela13[[#This Row],[credito_tomado]]&gt;50000,Tabela13[[#This Row],[flag_inadimplente]]="Sim"),"Negado","Aprovado")</f>
        <v>Aprovado</v>
      </c>
      <c r="O325" s="4">
        <f>IF(AND(Tabela13[[#This Row],[analise_risco]]="Negado",Tabela13[[#This Row],[analise_credito]]="Negado"),0,IF(Tabela13[[#This Row],[status]]="Ativo",Tabela13[[#This Row],[valor_solicitado]]*8%,0))</f>
        <v>6560</v>
      </c>
      <c r="P325" s="4">
        <v>82000</v>
      </c>
    </row>
    <row r="326" spans="1:16">
      <c r="A326" t="s">
        <v>71</v>
      </c>
      <c r="B326" t="s">
        <v>710</v>
      </c>
      <c r="C326" s="2" t="s">
        <v>711</v>
      </c>
      <c r="D326" s="24">
        <v>41</v>
      </c>
      <c r="E326" s="3">
        <v>31156</v>
      </c>
      <c r="F326" t="s">
        <v>147</v>
      </c>
      <c r="G326" t="s">
        <v>98</v>
      </c>
      <c r="H326" s="4">
        <v>26500</v>
      </c>
      <c r="I326" s="4">
        <v>29500</v>
      </c>
      <c r="J326" s="5" t="s">
        <v>45</v>
      </c>
      <c r="K326" s="6">
        <v>38</v>
      </c>
      <c r="L326" t="str" cm="1">
        <f t="array" ref="L326">_xlfn.IFS(K326&gt;=26,"Alto",K326&lt;11,"Baixo",K326&lt;26,"Médio")</f>
        <v>Alto</v>
      </c>
      <c r="M326" t="str">
        <f>IF(AND(Tabela13[[#This Row],[flag_inadimplente]]="Sim",Tabela13[[#This Row],[nivel_risco]]="Alto"),"Negado","Aprovado")</f>
        <v>Aprovado</v>
      </c>
      <c r="N326" t="str">
        <f>IF(AND(Tabela13[[#This Row],[credito_tomado]]&gt;50000,Tabela13[[#This Row],[flag_inadimplente]]="Sim"),"Negado","Aprovado")</f>
        <v>Aprovado</v>
      </c>
      <c r="O326" s="4">
        <f>IF(AND(Tabela13[[#This Row],[analise_risco]]="Negado",Tabela13[[#This Row],[analise_credito]]="Negado"),0,IF(Tabela13[[#This Row],[status]]="Ativo",Tabela13[[#This Row],[valor_solicitado]]*8%,0))</f>
        <v>6000</v>
      </c>
      <c r="P326" s="4">
        <v>75000</v>
      </c>
    </row>
    <row r="327" spans="1:16">
      <c r="A327" t="s">
        <v>71</v>
      </c>
      <c r="B327" t="s">
        <v>710</v>
      </c>
      <c r="C327" s="2" t="s">
        <v>712</v>
      </c>
      <c r="D327" s="24">
        <v>39</v>
      </c>
      <c r="E327" s="3">
        <v>31740</v>
      </c>
      <c r="F327" t="s">
        <v>101</v>
      </c>
      <c r="G327" t="s">
        <v>102</v>
      </c>
      <c r="H327" s="4">
        <v>13200</v>
      </c>
      <c r="I327" s="8" t="s">
        <v>80</v>
      </c>
      <c r="J327" s="5" t="s">
        <v>45</v>
      </c>
      <c r="K327" s="6">
        <v>5</v>
      </c>
      <c r="L327" t="str" cm="1">
        <f t="array" ref="L327">_xlfn.IFS(K327&gt;=26,"Alto",K327&lt;11,"Baixo",K327&lt;26,"Médio")</f>
        <v>Baixo</v>
      </c>
      <c r="M327" t="str">
        <f>IF(AND(Tabela13[[#This Row],[flag_inadimplente]]="Sim",Tabela13[[#This Row],[nivel_risco]]="Alto"),"Negado","Aprovado")</f>
        <v>Aprovado</v>
      </c>
      <c r="N327" t="str">
        <f>IF(AND(Tabela13[[#This Row],[credito_tomado]]&gt;50000,Tabela13[[#This Row],[flag_inadimplente]]="Sim"),"Negado","Aprovado")</f>
        <v>Aprovado</v>
      </c>
      <c r="O327" s="4">
        <f>IF(AND(Tabela13[[#This Row],[analise_risco]]="Negado",Tabela13[[#This Row],[analise_credito]]="Negado"),0,IF(Tabela13[[#This Row],[status]]="Ativo",Tabela13[[#This Row],[valor_solicitado]]*8%,0))</f>
        <v>2880</v>
      </c>
      <c r="P327" s="4">
        <v>36000</v>
      </c>
    </row>
    <row r="328" spans="1:16">
      <c r="A328" t="s">
        <v>71</v>
      </c>
      <c r="B328" t="s">
        <v>713</v>
      </c>
      <c r="C328" s="2" t="s">
        <v>714</v>
      </c>
      <c r="D328" s="24">
        <v>27</v>
      </c>
      <c r="E328" s="3">
        <v>36152</v>
      </c>
      <c r="F328" t="s">
        <v>78</v>
      </c>
      <c r="G328" t="s">
        <v>79</v>
      </c>
      <c r="H328" s="4">
        <v>30000</v>
      </c>
      <c r="I328" s="4">
        <v>27000</v>
      </c>
      <c r="J328" s="5" t="s">
        <v>45</v>
      </c>
      <c r="K328" s="6">
        <v>28</v>
      </c>
      <c r="L328" t="str" cm="1">
        <f t="array" ref="L328">_xlfn.IFS(K328&gt;=26,"Alto",K328&lt;11,"Baixo",K328&lt;26,"Médio")</f>
        <v>Alto</v>
      </c>
      <c r="M328" t="str">
        <f>IF(AND(Tabela13[[#This Row],[flag_inadimplente]]="Sim",Tabela13[[#This Row],[nivel_risco]]="Alto"),"Negado","Aprovado")</f>
        <v>Aprovado</v>
      </c>
      <c r="N328" t="str">
        <f>IF(AND(Tabela13[[#This Row],[credito_tomado]]&gt;50000,Tabela13[[#This Row],[flag_inadimplente]]="Sim"),"Negado","Aprovado")</f>
        <v>Aprovado</v>
      </c>
      <c r="O328" s="4">
        <f>IF(AND(Tabela13[[#This Row],[analise_risco]]="Negado",Tabela13[[#This Row],[analise_credito]]="Negado"),0,IF(Tabela13[[#This Row],[status]]="Ativo",Tabela13[[#This Row],[valor_solicitado]]*8%,0))</f>
        <v>2280</v>
      </c>
      <c r="P328" s="4">
        <v>28500</v>
      </c>
    </row>
    <row r="329" spans="1:16">
      <c r="A329" t="s">
        <v>71</v>
      </c>
      <c r="B329" t="s">
        <v>715</v>
      </c>
      <c r="C329" s="2" t="s">
        <v>716</v>
      </c>
      <c r="D329" s="24">
        <v>51</v>
      </c>
      <c r="E329" s="3">
        <v>27421</v>
      </c>
      <c r="F329" t="s">
        <v>90</v>
      </c>
      <c r="G329" t="s">
        <v>90</v>
      </c>
      <c r="H329" s="4">
        <v>26000</v>
      </c>
      <c r="I329" s="4">
        <v>47500</v>
      </c>
      <c r="J329" s="5" t="s">
        <v>45</v>
      </c>
      <c r="K329" s="6">
        <v>10</v>
      </c>
      <c r="L329" t="str" cm="1">
        <f t="array" ref="L329">_xlfn.IFS(K329&gt;=26,"Alto",K329&lt;11,"Baixo",K329&lt;26,"Médio")</f>
        <v>Baixo</v>
      </c>
      <c r="M329" t="str">
        <f>IF(AND(Tabela13[[#This Row],[flag_inadimplente]]="Sim",Tabela13[[#This Row],[nivel_risco]]="Alto"),"Negado","Aprovado")</f>
        <v>Aprovado</v>
      </c>
      <c r="N329" t="str">
        <f>IF(AND(Tabela13[[#This Row],[credito_tomado]]&gt;50000,Tabela13[[#This Row],[flag_inadimplente]]="Sim"),"Negado","Aprovado")</f>
        <v>Aprovado</v>
      </c>
      <c r="O329" s="4">
        <f>IF(AND(Tabela13[[#This Row],[analise_risco]]="Negado",Tabela13[[#This Row],[analise_credito]]="Negado"),0,IF(Tabela13[[#This Row],[status]]="Ativo",Tabela13[[#This Row],[valor_solicitado]]*8%,0))</f>
        <v>4840</v>
      </c>
      <c r="P329" s="4">
        <v>60500</v>
      </c>
    </row>
    <row r="330" spans="1:16">
      <c r="A330" t="s">
        <v>71</v>
      </c>
      <c r="B330" t="s">
        <v>715</v>
      </c>
      <c r="C330" s="2" t="s">
        <v>717</v>
      </c>
      <c r="D330" s="24" t="s">
        <v>80</v>
      </c>
      <c r="E330" s="3">
        <v>25925</v>
      </c>
      <c r="F330" t="s">
        <v>101</v>
      </c>
      <c r="G330" t="s">
        <v>102</v>
      </c>
      <c r="H330" s="4">
        <v>20200</v>
      </c>
      <c r="I330" s="4">
        <v>61000</v>
      </c>
      <c r="J330" s="5" t="s">
        <v>45</v>
      </c>
      <c r="K330" s="6">
        <v>45</v>
      </c>
      <c r="L330" t="str" cm="1">
        <f t="array" ref="L330">_xlfn.IFS(K330&gt;=26,"Alto",K330&lt;11,"Baixo",K330&lt;26,"Médio")</f>
        <v>Alto</v>
      </c>
      <c r="M330" t="str">
        <f>IF(AND(Tabela13[[#This Row],[flag_inadimplente]]="Sim",Tabela13[[#This Row],[nivel_risco]]="Alto"),"Negado","Aprovado")</f>
        <v>Aprovado</v>
      </c>
      <c r="N330" t="str">
        <f>IF(AND(Tabela13[[#This Row],[credito_tomado]]&gt;50000,Tabela13[[#This Row],[flag_inadimplente]]="Sim"),"Negado","Aprovado")</f>
        <v>Aprovado</v>
      </c>
      <c r="O330" s="4">
        <f>IF(AND(Tabela13[[#This Row],[analise_risco]]="Negado",Tabela13[[#This Row],[analise_credito]]="Negado"),0,IF(Tabela13[[#This Row],[status]]="Ativo",Tabela13[[#This Row],[valor_solicitado]]*8%,0))</f>
        <v>520</v>
      </c>
      <c r="P330" s="4">
        <v>6500</v>
      </c>
    </row>
    <row r="331" spans="1:16">
      <c r="A331" t="s">
        <v>71</v>
      </c>
      <c r="B331" t="s">
        <v>718</v>
      </c>
      <c r="C331" s="2" t="s">
        <v>719</v>
      </c>
      <c r="D331" s="24">
        <v>33</v>
      </c>
      <c r="E331" s="3">
        <v>34147</v>
      </c>
      <c r="F331" t="s">
        <v>74</v>
      </c>
      <c r="G331" t="s">
        <v>75</v>
      </c>
      <c r="H331" s="4">
        <v>28700</v>
      </c>
      <c r="I331" s="4">
        <v>12500</v>
      </c>
      <c r="J331" s="5" t="s">
        <v>45</v>
      </c>
      <c r="K331" s="6">
        <v>41</v>
      </c>
      <c r="L331" t="str" cm="1">
        <f t="array" ref="L331">_xlfn.IFS(K331&gt;=26,"Alto",K331&lt;11,"Baixo",K331&lt;26,"Médio")</f>
        <v>Alto</v>
      </c>
      <c r="M331" t="str">
        <f>IF(AND(Tabela13[[#This Row],[flag_inadimplente]]="Sim",Tabela13[[#This Row],[nivel_risco]]="Alto"),"Negado","Aprovado")</f>
        <v>Aprovado</v>
      </c>
      <c r="N331" t="str">
        <f>IF(AND(Tabela13[[#This Row],[credito_tomado]]&gt;50000,Tabela13[[#This Row],[flag_inadimplente]]="Sim"),"Negado","Aprovado")</f>
        <v>Aprovado</v>
      </c>
      <c r="O331" s="4">
        <f>IF(AND(Tabela13[[#This Row],[analise_risco]]="Negado",Tabela13[[#This Row],[analise_credito]]="Negado"),0,IF(Tabela13[[#This Row],[status]]="Ativo",Tabela13[[#This Row],[valor_solicitado]]*8%,0))</f>
        <v>7960</v>
      </c>
      <c r="P331" s="4">
        <v>99500</v>
      </c>
    </row>
    <row r="332" spans="1:16">
      <c r="A332" t="s">
        <v>85</v>
      </c>
      <c r="B332" t="s">
        <v>720</v>
      </c>
      <c r="C332" s="2" t="s">
        <v>721</v>
      </c>
      <c r="D332" s="24">
        <v>63</v>
      </c>
      <c r="E332" s="3">
        <v>22994</v>
      </c>
      <c r="F332" t="s">
        <v>101</v>
      </c>
      <c r="G332" t="s">
        <v>102</v>
      </c>
      <c r="H332" s="4">
        <v>20000</v>
      </c>
      <c r="I332" s="4">
        <v>29500</v>
      </c>
      <c r="J332" s="5" t="s">
        <v>45</v>
      </c>
      <c r="K332" s="6">
        <v>42</v>
      </c>
      <c r="L332" t="str" cm="1">
        <f t="array" ref="L332">_xlfn.IFS(K332&gt;=26,"Alto",K332&lt;11,"Baixo",K332&lt;26,"Médio")</f>
        <v>Alto</v>
      </c>
      <c r="M332" t="str">
        <f>IF(AND(Tabela13[[#This Row],[flag_inadimplente]]="Sim",Tabela13[[#This Row],[nivel_risco]]="Alto"),"Negado","Aprovado")</f>
        <v>Aprovado</v>
      </c>
      <c r="N332" t="str">
        <f>IF(AND(Tabela13[[#This Row],[credito_tomado]]&gt;50000,Tabela13[[#This Row],[flag_inadimplente]]="Sim"),"Negado","Aprovado")</f>
        <v>Aprovado</v>
      </c>
      <c r="O332" s="4">
        <f>IF(AND(Tabela13[[#This Row],[analise_risco]]="Negado",Tabela13[[#This Row],[analise_credito]]="Negado"),0,IF(Tabela13[[#This Row],[status]]="Ativo",Tabela13[[#This Row],[valor_solicitado]]*8%,0))</f>
        <v>0</v>
      </c>
      <c r="P332" s="4">
        <v>5000</v>
      </c>
    </row>
    <row r="333" spans="1:16">
      <c r="A333" t="s">
        <v>85</v>
      </c>
      <c r="B333" t="s">
        <v>722</v>
      </c>
      <c r="C333" s="2" t="s">
        <v>723</v>
      </c>
      <c r="D333" s="24">
        <v>58</v>
      </c>
      <c r="E333" s="3">
        <v>24872</v>
      </c>
      <c r="F333" t="s">
        <v>101</v>
      </c>
      <c r="G333" t="s">
        <v>102</v>
      </c>
      <c r="H333" s="4">
        <v>12500</v>
      </c>
      <c r="I333" s="4">
        <v>44500</v>
      </c>
      <c r="J333" s="5" t="s">
        <v>45</v>
      </c>
      <c r="K333" s="6">
        <v>13</v>
      </c>
      <c r="L333" t="str" cm="1">
        <f t="array" ref="L333">_xlfn.IFS(K333&gt;=26,"Alto",K333&lt;11,"Baixo",K333&lt;26,"Médio")</f>
        <v>Médio</v>
      </c>
      <c r="M333" t="str">
        <f>IF(AND(Tabela13[[#This Row],[flag_inadimplente]]="Sim",Tabela13[[#This Row],[nivel_risco]]="Alto"),"Negado","Aprovado")</f>
        <v>Aprovado</v>
      </c>
      <c r="N333" t="str">
        <f>IF(AND(Tabela13[[#This Row],[credito_tomado]]&gt;50000,Tabela13[[#This Row],[flag_inadimplente]]="Sim"),"Negado","Aprovado")</f>
        <v>Aprovado</v>
      </c>
      <c r="O333" s="4">
        <f>IF(AND(Tabela13[[#This Row],[analise_risco]]="Negado",Tabela13[[#This Row],[analise_credito]]="Negado"),0,IF(Tabela13[[#This Row],[status]]="Ativo",Tabela13[[#This Row],[valor_solicitado]]*8%,0))</f>
        <v>0</v>
      </c>
      <c r="P333" s="4">
        <v>16000</v>
      </c>
    </row>
    <row r="334" spans="1:16">
      <c r="A334" t="s">
        <v>85</v>
      </c>
      <c r="B334" t="s">
        <v>722</v>
      </c>
      <c r="C334" s="2" t="s">
        <v>723</v>
      </c>
      <c r="D334" s="24">
        <v>58</v>
      </c>
      <c r="E334" s="3">
        <v>24872</v>
      </c>
      <c r="F334" t="s">
        <v>101</v>
      </c>
      <c r="G334" t="s">
        <v>102</v>
      </c>
      <c r="H334" s="4">
        <v>12500</v>
      </c>
      <c r="I334" s="4">
        <v>44500</v>
      </c>
      <c r="J334" s="5" t="s">
        <v>45</v>
      </c>
      <c r="K334" s="6">
        <v>13</v>
      </c>
      <c r="L334" t="str" cm="1">
        <f t="array" ref="L334">_xlfn.IFS(K334&gt;=26,"Alto",K334&lt;11,"Baixo",K334&lt;26,"Médio")</f>
        <v>Médio</v>
      </c>
      <c r="M334" t="str">
        <f>IF(AND(Tabela13[[#This Row],[flag_inadimplente]]="Sim",Tabela13[[#This Row],[nivel_risco]]="Alto"),"Negado","Aprovado")</f>
        <v>Aprovado</v>
      </c>
      <c r="N334" t="str">
        <f>IF(AND(Tabela13[[#This Row],[credito_tomado]]&gt;50000,Tabela13[[#This Row],[flag_inadimplente]]="Sim"),"Negado","Aprovado")</f>
        <v>Aprovado</v>
      </c>
      <c r="O334" s="4">
        <f>IF(AND(Tabela13[[#This Row],[analise_risco]]="Negado",Tabela13[[#This Row],[analise_credito]]="Negado"),0,IF(Tabela13[[#This Row],[status]]="Ativo",Tabela13[[#This Row],[valor_solicitado]]*8%,0))</f>
        <v>0</v>
      </c>
      <c r="P334" s="4">
        <v>98500</v>
      </c>
    </row>
    <row r="335" spans="1:16">
      <c r="A335" t="s">
        <v>71</v>
      </c>
      <c r="B335" t="s">
        <v>724</v>
      </c>
      <c r="C335" s="2" t="s">
        <v>725</v>
      </c>
      <c r="D335" s="24">
        <v>42</v>
      </c>
      <c r="E335" s="3">
        <v>30662</v>
      </c>
      <c r="F335" t="s">
        <v>97</v>
      </c>
      <c r="G335" t="s">
        <v>98</v>
      </c>
      <c r="H335" s="4">
        <v>20400</v>
      </c>
      <c r="I335" s="4">
        <v>0</v>
      </c>
      <c r="J335" s="5" t="s">
        <v>45</v>
      </c>
      <c r="K335" s="6">
        <v>0</v>
      </c>
      <c r="L335" t="str" cm="1">
        <f t="array" ref="L335">_xlfn.IFS(K335&gt;=26,"Alto",K335&lt;11,"Baixo",K335&lt;26,"Médio")</f>
        <v>Baixo</v>
      </c>
      <c r="M335" t="str">
        <f>IF(AND(Tabela13[[#This Row],[flag_inadimplente]]="Sim",Tabela13[[#This Row],[nivel_risco]]="Alto"),"Negado","Aprovado")</f>
        <v>Aprovado</v>
      </c>
      <c r="N335" t="str">
        <f>IF(AND(Tabela13[[#This Row],[credito_tomado]]&gt;50000,Tabela13[[#This Row],[flag_inadimplente]]="Sim"),"Negado","Aprovado")</f>
        <v>Aprovado</v>
      </c>
      <c r="O335" s="4">
        <f>IF(AND(Tabela13[[#This Row],[analise_risco]]="Negado",Tabela13[[#This Row],[analise_credito]]="Negado"),0,IF(Tabela13[[#This Row],[status]]="Ativo",Tabela13[[#This Row],[valor_solicitado]]*8%,0))</f>
        <v>6480</v>
      </c>
      <c r="P335" s="4">
        <v>81000</v>
      </c>
    </row>
    <row r="336" spans="1:16">
      <c r="A336" t="s">
        <v>71</v>
      </c>
      <c r="B336" t="s">
        <v>726</v>
      </c>
      <c r="C336" s="2" t="s">
        <v>727</v>
      </c>
      <c r="D336" s="24">
        <v>55</v>
      </c>
      <c r="E336" s="3">
        <v>25880</v>
      </c>
      <c r="F336" t="s">
        <v>216</v>
      </c>
      <c r="G336" t="s">
        <v>94</v>
      </c>
      <c r="H336" s="4">
        <v>27500</v>
      </c>
      <c r="I336" s="4">
        <v>14000</v>
      </c>
      <c r="J336" s="5" t="s">
        <v>45</v>
      </c>
      <c r="K336" s="6">
        <v>3</v>
      </c>
      <c r="L336" t="str" cm="1">
        <f t="array" ref="L336">_xlfn.IFS(K336&gt;=26,"Alto",K336&lt;11,"Baixo",K336&lt;26,"Médio")</f>
        <v>Baixo</v>
      </c>
      <c r="M336" t="str">
        <f>IF(AND(Tabela13[[#This Row],[flag_inadimplente]]="Sim",Tabela13[[#This Row],[nivel_risco]]="Alto"),"Negado","Aprovado")</f>
        <v>Aprovado</v>
      </c>
      <c r="N336" t="str">
        <f>IF(AND(Tabela13[[#This Row],[credito_tomado]]&gt;50000,Tabela13[[#This Row],[flag_inadimplente]]="Sim"),"Negado","Aprovado")</f>
        <v>Aprovado</v>
      </c>
      <c r="O336" s="4">
        <f>IF(AND(Tabela13[[#This Row],[analise_risco]]="Negado",Tabela13[[#This Row],[analise_credito]]="Negado"),0,IF(Tabela13[[#This Row],[status]]="Ativo",Tabela13[[#This Row],[valor_solicitado]]*8%,0))</f>
        <v>920</v>
      </c>
      <c r="P336" s="4">
        <v>11500</v>
      </c>
    </row>
    <row r="337" spans="1:16">
      <c r="A337" t="s">
        <v>71</v>
      </c>
      <c r="B337" t="s">
        <v>728</v>
      </c>
      <c r="C337" s="2" t="s">
        <v>729</v>
      </c>
      <c r="D337" s="24">
        <v>34</v>
      </c>
      <c r="E337" s="3">
        <v>33746</v>
      </c>
      <c r="F337" t="s">
        <v>90</v>
      </c>
      <c r="G337" t="s">
        <v>90</v>
      </c>
      <c r="H337" s="4">
        <v>28900</v>
      </c>
      <c r="I337" s="4">
        <v>37000</v>
      </c>
      <c r="J337" s="5" t="s">
        <v>45</v>
      </c>
      <c r="K337" s="6">
        <v>21</v>
      </c>
      <c r="L337" t="str" cm="1">
        <f t="array" ref="L337">_xlfn.IFS(K337&gt;=26,"Alto",K337&lt;11,"Baixo",K337&lt;26,"Médio")</f>
        <v>Médio</v>
      </c>
      <c r="M337" t="str">
        <f>IF(AND(Tabela13[[#This Row],[flag_inadimplente]]="Sim",Tabela13[[#This Row],[nivel_risco]]="Alto"),"Negado","Aprovado")</f>
        <v>Aprovado</v>
      </c>
      <c r="N337" t="str">
        <f>IF(AND(Tabela13[[#This Row],[credito_tomado]]&gt;50000,Tabela13[[#This Row],[flag_inadimplente]]="Sim"),"Negado","Aprovado")</f>
        <v>Aprovado</v>
      </c>
      <c r="O337" s="4">
        <f>IF(AND(Tabela13[[#This Row],[analise_risco]]="Negado",Tabela13[[#This Row],[analise_credito]]="Negado"),0,IF(Tabela13[[#This Row],[status]]="Ativo",Tabela13[[#This Row],[valor_solicitado]]*8%,0))</f>
        <v>7800</v>
      </c>
      <c r="P337" s="4">
        <v>97500</v>
      </c>
    </row>
    <row r="338" spans="1:16">
      <c r="A338" t="s">
        <v>71</v>
      </c>
      <c r="B338" t="s">
        <v>730</v>
      </c>
      <c r="C338" s="2" t="s">
        <v>731</v>
      </c>
      <c r="D338" s="24">
        <v>39</v>
      </c>
      <c r="E338" s="3">
        <v>31972</v>
      </c>
      <c r="F338" t="s">
        <v>83</v>
      </c>
      <c r="G338" t="s">
        <v>84</v>
      </c>
      <c r="H338" s="4">
        <v>8700</v>
      </c>
      <c r="I338" s="4">
        <v>4500</v>
      </c>
      <c r="J338" s="5" t="s">
        <v>45</v>
      </c>
      <c r="K338" s="6">
        <v>16</v>
      </c>
      <c r="L338" t="str" cm="1">
        <f t="array" ref="L338">_xlfn.IFS(K338&gt;=26,"Alto",K338&lt;11,"Baixo",K338&lt;26,"Médio")</f>
        <v>Médio</v>
      </c>
      <c r="M338" t="str">
        <f>IF(AND(Tabela13[[#This Row],[flag_inadimplente]]="Sim",Tabela13[[#This Row],[nivel_risco]]="Alto"),"Negado","Aprovado")</f>
        <v>Aprovado</v>
      </c>
      <c r="N338" t="str">
        <f>IF(AND(Tabela13[[#This Row],[credito_tomado]]&gt;50000,Tabela13[[#This Row],[flag_inadimplente]]="Sim"),"Negado","Aprovado")</f>
        <v>Aprovado</v>
      </c>
      <c r="O338" s="4">
        <f>IF(AND(Tabela13[[#This Row],[analise_risco]]="Negado",Tabela13[[#This Row],[analise_credito]]="Negado"),0,IF(Tabela13[[#This Row],[status]]="Ativo",Tabela13[[#This Row],[valor_solicitado]]*8%,0))</f>
        <v>7480</v>
      </c>
      <c r="P338" s="4">
        <v>93500</v>
      </c>
    </row>
    <row r="339" spans="1:16">
      <c r="A339" t="s">
        <v>85</v>
      </c>
      <c r="B339" t="s">
        <v>732</v>
      </c>
      <c r="C339" s="2" t="s">
        <v>733</v>
      </c>
      <c r="D339" s="24">
        <v>67</v>
      </c>
      <c r="E339" s="3">
        <v>21674</v>
      </c>
      <c r="F339" t="s">
        <v>188</v>
      </c>
      <c r="G339" t="s">
        <v>195</v>
      </c>
      <c r="H339" s="4">
        <v>15200</v>
      </c>
      <c r="I339" s="4">
        <v>67500</v>
      </c>
      <c r="J339" s="5" t="s">
        <v>45</v>
      </c>
      <c r="K339" s="6">
        <v>12</v>
      </c>
      <c r="L339" t="str" cm="1">
        <f t="array" ref="L339">_xlfn.IFS(K339&gt;=26,"Alto",K339&lt;11,"Baixo",K339&lt;26,"Médio")</f>
        <v>Médio</v>
      </c>
      <c r="M339" t="str">
        <f>IF(AND(Tabela13[[#This Row],[flag_inadimplente]]="Sim",Tabela13[[#This Row],[nivel_risco]]="Alto"),"Negado","Aprovado")</f>
        <v>Aprovado</v>
      </c>
      <c r="N339" t="str">
        <f>IF(AND(Tabela13[[#This Row],[credito_tomado]]&gt;50000,Tabela13[[#This Row],[flag_inadimplente]]="Sim"),"Negado","Aprovado")</f>
        <v>Aprovado</v>
      </c>
      <c r="O339" s="4">
        <f>IF(AND(Tabela13[[#This Row],[analise_risco]]="Negado",Tabela13[[#This Row],[analise_credito]]="Negado"),0,IF(Tabela13[[#This Row],[status]]="Ativo",Tabela13[[#This Row],[valor_solicitado]]*8%,0))</f>
        <v>0</v>
      </c>
      <c r="P339" s="4">
        <v>97500</v>
      </c>
    </row>
    <row r="340" spans="1:16">
      <c r="A340" t="s">
        <v>85</v>
      </c>
      <c r="B340" t="s">
        <v>734</v>
      </c>
      <c r="C340" s="2" t="s">
        <v>735</v>
      </c>
      <c r="D340" s="24">
        <v>51</v>
      </c>
      <c r="E340" s="3">
        <v>27590</v>
      </c>
      <c r="F340" t="s">
        <v>298</v>
      </c>
      <c r="G340" t="s">
        <v>79</v>
      </c>
      <c r="H340" s="4">
        <v>11400</v>
      </c>
      <c r="I340" s="4">
        <v>0</v>
      </c>
      <c r="J340" s="5" t="s">
        <v>45</v>
      </c>
      <c r="K340" s="6">
        <v>17</v>
      </c>
      <c r="L340" t="str" cm="1">
        <f t="array" ref="L340">_xlfn.IFS(K340&gt;=26,"Alto",K340&lt;11,"Baixo",K340&lt;26,"Médio")</f>
        <v>Médio</v>
      </c>
      <c r="M340" t="str">
        <f>IF(AND(Tabela13[[#This Row],[flag_inadimplente]]="Sim",Tabela13[[#This Row],[nivel_risco]]="Alto"),"Negado","Aprovado")</f>
        <v>Aprovado</v>
      </c>
      <c r="N340" t="str">
        <f>IF(AND(Tabela13[[#This Row],[credito_tomado]]&gt;50000,Tabela13[[#This Row],[flag_inadimplente]]="Sim"),"Negado","Aprovado")</f>
        <v>Aprovado</v>
      </c>
      <c r="O340" s="4">
        <f>IF(AND(Tabela13[[#This Row],[analise_risco]]="Negado",Tabela13[[#This Row],[analise_credito]]="Negado"),0,IF(Tabela13[[#This Row],[status]]="Ativo",Tabela13[[#This Row],[valor_solicitado]]*8%,0))</f>
        <v>0</v>
      </c>
      <c r="P340" s="4">
        <v>55500</v>
      </c>
    </row>
    <row r="341" spans="1:16">
      <c r="A341" t="s">
        <v>71</v>
      </c>
      <c r="B341" t="s">
        <v>736</v>
      </c>
      <c r="C341" s="2" t="s">
        <v>737</v>
      </c>
      <c r="D341" s="24">
        <v>41</v>
      </c>
      <c r="E341" s="3">
        <v>30992</v>
      </c>
      <c r="F341" t="s">
        <v>139</v>
      </c>
      <c r="G341" t="s">
        <v>140</v>
      </c>
      <c r="H341" s="4">
        <v>28600</v>
      </c>
      <c r="I341" s="4">
        <v>67500</v>
      </c>
      <c r="J341" s="5" t="s">
        <v>45</v>
      </c>
      <c r="K341" s="6">
        <v>39</v>
      </c>
      <c r="L341" t="str" cm="1">
        <f t="array" ref="L341">_xlfn.IFS(K341&gt;=26,"Alto",K341&lt;11,"Baixo",K341&lt;26,"Médio")</f>
        <v>Alto</v>
      </c>
      <c r="M341" t="str">
        <f>IF(AND(Tabela13[[#This Row],[flag_inadimplente]]="Sim",Tabela13[[#This Row],[nivel_risco]]="Alto"),"Negado","Aprovado")</f>
        <v>Aprovado</v>
      </c>
      <c r="N341" t="str">
        <f>IF(AND(Tabela13[[#This Row],[credito_tomado]]&gt;50000,Tabela13[[#This Row],[flag_inadimplente]]="Sim"),"Negado","Aprovado")</f>
        <v>Aprovado</v>
      </c>
      <c r="O341" s="4">
        <f>IF(AND(Tabela13[[#This Row],[analise_risco]]="Negado",Tabela13[[#This Row],[analise_credito]]="Negado"),0,IF(Tabela13[[#This Row],[status]]="Ativo",Tabela13[[#This Row],[valor_solicitado]]*8%,0))</f>
        <v>1760</v>
      </c>
      <c r="P341" s="4">
        <v>22000</v>
      </c>
    </row>
    <row r="342" spans="1:16">
      <c r="A342" t="s">
        <v>71</v>
      </c>
      <c r="B342" t="s">
        <v>738</v>
      </c>
      <c r="C342" s="2" t="s">
        <v>739</v>
      </c>
      <c r="D342" s="24">
        <v>24</v>
      </c>
      <c r="E342" s="3">
        <v>37470</v>
      </c>
      <c r="F342" t="s">
        <v>93</v>
      </c>
      <c r="G342" t="s">
        <v>94</v>
      </c>
      <c r="H342" s="4">
        <v>16900</v>
      </c>
      <c r="I342" s="4">
        <v>42500</v>
      </c>
      <c r="J342" s="5" t="s">
        <v>46</v>
      </c>
      <c r="K342" s="6">
        <v>26</v>
      </c>
      <c r="L342" t="str" cm="1">
        <f t="array" ref="L342">_xlfn.IFS(K342&gt;=26,"Alto",K342&lt;11,"Baixo",K342&lt;26,"Médio")</f>
        <v>Alto</v>
      </c>
      <c r="M342" t="str">
        <f>IF(AND(Tabela13[[#This Row],[flag_inadimplente]]="Sim",Tabela13[[#This Row],[nivel_risco]]="Alto"),"Negado","Aprovado")</f>
        <v>Negado</v>
      </c>
      <c r="N342" t="str">
        <f>IF(AND(Tabela13[[#This Row],[credito_tomado]]&gt;50000,Tabela13[[#This Row],[flag_inadimplente]]="Sim"),"Negado","Aprovado")</f>
        <v>Aprovado</v>
      </c>
      <c r="O342" s="4">
        <f>IF(AND(Tabela13[[#This Row],[analise_risco]]="Negado",Tabela13[[#This Row],[analise_credito]]="Negado"),0,IF(Tabela13[[#This Row],[status]]="Ativo",Tabela13[[#This Row],[valor_solicitado]]*8%,0))</f>
        <v>1000</v>
      </c>
      <c r="P342" s="4">
        <v>12500</v>
      </c>
    </row>
    <row r="343" spans="1:16">
      <c r="A343" t="s">
        <v>71</v>
      </c>
      <c r="B343" t="s">
        <v>740</v>
      </c>
      <c r="C343" s="2" t="s">
        <v>741</v>
      </c>
      <c r="D343" s="24">
        <v>71</v>
      </c>
      <c r="E343" s="3">
        <v>20094</v>
      </c>
      <c r="F343" t="s">
        <v>298</v>
      </c>
      <c r="G343" t="s">
        <v>79</v>
      </c>
      <c r="H343" s="4">
        <v>24100</v>
      </c>
      <c r="I343" s="4">
        <v>0</v>
      </c>
      <c r="J343" s="5" t="s">
        <v>45</v>
      </c>
      <c r="K343" s="6">
        <v>10</v>
      </c>
      <c r="L343" t="str" cm="1">
        <f t="array" ref="L343">_xlfn.IFS(K343&gt;=26,"Alto",K343&lt;11,"Baixo",K343&lt;26,"Médio")</f>
        <v>Baixo</v>
      </c>
      <c r="M343" t="str">
        <f>IF(AND(Tabela13[[#This Row],[flag_inadimplente]]="Sim",Tabela13[[#This Row],[nivel_risco]]="Alto"),"Negado","Aprovado")</f>
        <v>Aprovado</v>
      </c>
      <c r="N343" t="str">
        <f>IF(AND(Tabela13[[#This Row],[credito_tomado]]&gt;50000,Tabela13[[#This Row],[flag_inadimplente]]="Sim"),"Negado","Aprovado")</f>
        <v>Aprovado</v>
      </c>
      <c r="O343" s="4">
        <f>IF(AND(Tabela13[[#This Row],[analise_risco]]="Negado",Tabela13[[#This Row],[analise_credito]]="Negado"),0,IF(Tabela13[[#This Row],[status]]="Ativo",Tabela13[[#This Row],[valor_solicitado]]*8%,0))</f>
        <v>6960</v>
      </c>
      <c r="P343" s="4">
        <v>87000</v>
      </c>
    </row>
    <row r="344" spans="1:16">
      <c r="A344" t="s">
        <v>71</v>
      </c>
      <c r="B344" t="s">
        <v>742</v>
      </c>
      <c r="C344" s="2" t="s">
        <v>743</v>
      </c>
      <c r="D344" s="24">
        <v>42</v>
      </c>
      <c r="E344" s="3">
        <v>30724</v>
      </c>
      <c r="F344" t="s">
        <v>126</v>
      </c>
      <c r="G344" t="s">
        <v>98</v>
      </c>
      <c r="H344" s="4">
        <v>18500</v>
      </c>
      <c r="I344" s="4">
        <v>59000</v>
      </c>
      <c r="J344" s="5" t="s">
        <v>45</v>
      </c>
      <c r="K344" s="6">
        <v>44</v>
      </c>
      <c r="L344" t="str" cm="1">
        <f t="array" ref="L344">_xlfn.IFS(K344&gt;=26,"Alto",K344&lt;11,"Baixo",K344&lt;26,"Médio")</f>
        <v>Alto</v>
      </c>
      <c r="M344" t="str">
        <f>IF(AND(Tabela13[[#This Row],[flag_inadimplente]]="Sim",Tabela13[[#This Row],[nivel_risco]]="Alto"),"Negado","Aprovado")</f>
        <v>Aprovado</v>
      </c>
      <c r="N344" t="str">
        <f>IF(AND(Tabela13[[#This Row],[credito_tomado]]&gt;50000,Tabela13[[#This Row],[flag_inadimplente]]="Sim"),"Negado","Aprovado")</f>
        <v>Aprovado</v>
      </c>
      <c r="O344" s="4">
        <f>IF(AND(Tabela13[[#This Row],[analise_risco]]="Negado",Tabela13[[#This Row],[analise_credito]]="Negado"),0,IF(Tabela13[[#This Row],[status]]="Ativo",Tabela13[[#This Row],[valor_solicitado]]*8%,0))</f>
        <v>1320</v>
      </c>
      <c r="P344" s="4">
        <v>16500</v>
      </c>
    </row>
    <row r="345" spans="1:16">
      <c r="A345" t="s">
        <v>85</v>
      </c>
      <c r="B345" t="s">
        <v>744</v>
      </c>
      <c r="C345" s="2" t="s">
        <v>745</v>
      </c>
      <c r="D345" s="24">
        <v>54</v>
      </c>
      <c r="E345" s="3">
        <v>26453</v>
      </c>
      <c r="F345" t="s">
        <v>188</v>
      </c>
      <c r="G345" t="s">
        <v>195</v>
      </c>
      <c r="H345" s="4">
        <v>3900</v>
      </c>
      <c r="I345" s="4">
        <v>80000</v>
      </c>
      <c r="J345" s="5" t="s">
        <v>45</v>
      </c>
      <c r="K345" s="6">
        <v>41</v>
      </c>
      <c r="L345" t="str" cm="1">
        <f t="array" ref="L345">_xlfn.IFS(K345&gt;=26,"Alto",K345&lt;11,"Baixo",K345&lt;26,"Médio")</f>
        <v>Alto</v>
      </c>
      <c r="M345" t="str">
        <f>IF(AND(Tabela13[[#This Row],[flag_inadimplente]]="Sim",Tabela13[[#This Row],[nivel_risco]]="Alto"),"Negado","Aprovado")</f>
        <v>Aprovado</v>
      </c>
      <c r="N345" t="str">
        <f>IF(AND(Tabela13[[#This Row],[credito_tomado]]&gt;50000,Tabela13[[#This Row],[flag_inadimplente]]="Sim"),"Negado","Aprovado")</f>
        <v>Aprovado</v>
      </c>
      <c r="O345" s="4">
        <f>IF(AND(Tabela13[[#This Row],[analise_risco]]="Negado",Tabela13[[#This Row],[analise_credito]]="Negado"),0,IF(Tabela13[[#This Row],[status]]="Ativo",Tabela13[[#This Row],[valor_solicitado]]*8%,0))</f>
        <v>0</v>
      </c>
      <c r="P345" s="4">
        <v>30000</v>
      </c>
    </row>
    <row r="346" spans="1:16">
      <c r="A346" t="s">
        <v>71</v>
      </c>
      <c r="B346" t="s">
        <v>746</v>
      </c>
      <c r="C346" s="2" t="s">
        <v>747</v>
      </c>
      <c r="D346" s="24">
        <v>23</v>
      </c>
      <c r="E346" s="3">
        <v>37566</v>
      </c>
      <c r="F346" t="s">
        <v>115</v>
      </c>
      <c r="G346" t="s">
        <v>75</v>
      </c>
      <c r="H346" s="4">
        <v>2600</v>
      </c>
      <c r="I346" s="4">
        <v>0</v>
      </c>
      <c r="J346" s="5" t="s">
        <v>46</v>
      </c>
      <c r="K346" s="6">
        <v>30</v>
      </c>
      <c r="L346" t="str" cm="1">
        <f t="array" ref="L346">_xlfn.IFS(K346&gt;=26,"Alto",K346&lt;11,"Baixo",K346&lt;26,"Médio")</f>
        <v>Alto</v>
      </c>
      <c r="M346" t="str">
        <f>IF(AND(Tabela13[[#This Row],[flag_inadimplente]]="Sim",Tabela13[[#This Row],[nivel_risco]]="Alto"),"Negado","Aprovado")</f>
        <v>Negado</v>
      </c>
      <c r="N346" t="str">
        <f>IF(AND(Tabela13[[#This Row],[credito_tomado]]&gt;50000,Tabela13[[#This Row],[flag_inadimplente]]="Sim"),"Negado","Aprovado")</f>
        <v>Aprovado</v>
      </c>
      <c r="O346" s="4">
        <f>IF(AND(Tabela13[[#This Row],[analise_risco]]="Negado",Tabela13[[#This Row],[analise_credito]]="Negado"),0,IF(Tabela13[[#This Row],[status]]="Ativo",Tabela13[[#This Row],[valor_solicitado]]*8%,0))</f>
        <v>880</v>
      </c>
      <c r="P346" s="4">
        <v>11000</v>
      </c>
    </row>
    <row r="347" spans="1:16">
      <c r="A347" t="s">
        <v>71</v>
      </c>
      <c r="B347" t="s">
        <v>748</v>
      </c>
      <c r="C347" s="2" t="s">
        <v>749</v>
      </c>
      <c r="D347" s="24">
        <v>56</v>
      </c>
      <c r="E347" s="3">
        <v>25808</v>
      </c>
      <c r="F347" t="s">
        <v>149</v>
      </c>
      <c r="G347" t="s">
        <v>79</v>
      </c>
      <c r="H347" s="4">
        <v>5400</v>
      </c>
      <c r="I347" s="4">
        <v>61000</v>
      </c>
      <c r="J347" s="5" t="s">
        <v>45</v>
      </c>
      <c r="K347" s="6">
        <v>12</v>
      </c>
      <c r="L347" t="str" cm="1">
        <f t="array" ref="L347">_xlfn.IFS(K347&gt;=26,"Alto",K347&lt;11,"Baixo",K347&lt;26,"Médio")</f>
        <v>Médio</v>
      </c>
      <c r="M347" t="str">
        <f>IF(AND(Tabela13[[#This Row],[flag_inadimplente]]="Sim",Tabela13[[#This Row],[nivel_risco]]="Alto"),"Negado","Aprovado")</f>
        <v>Aprovado</v>
      </c>
      <c r="N347" t="str">
        <f>IF(AND(Tabela13[[#This Row],[credito_tomado]]&gt;50000,Tabela13[[#This Row],[flag_inadimplente]]="Sim"),"Negado","Aprovado")</f>
        <v>Aprovado</v>
      </c>
      <c r="O347" s="4">
        <f>IF(AND(Tabela13[[#This Row],[analise_risco]]="Negado",Tabela13[[#This Row],[analise_credito]]="Negado"),0,IF(Tabela13[[#This Row],[status]]="Ativo",Tabela13[[#This Row],[valor_solicitado]]*8%,0))</f>
        <v>7720</v>
      </c>
      <c r="P347" s="4">
        <v>96500</v>
      </c>
    </row>
    <row r="348" spans="1:16">
      <c r="A348" t="s">
        <v>71</v>
      </c>
      <c r="B348" t="s">
        <v>750</v>
      </c>
      <c r="C348" s="2" t="s">
        <v>751</v>
      </c>
      <c r="D348" s="24">
        <v>47</v>
      </c>
      <c r="E348" s="3" t="s">
        <v>80</v>
      </c>
      <c r="F348" t="s">
        <v>115</v>
      </c>
      <c r="G348" s="7" t="s">
        <v>80</v>
      </c>
      <c r="H348" s="4">
        <v>11600</v>
      </c>
      <c r="I348" s="4">
        <v>63500</v>
      </c>
      <c r="J348" s="5" t="s">
        <v>45</v>
      </c>
      <c r="K348" s="6">
        <v>18</v>
      </c>
      <c r="L348" t="str" cm="1">
        <f t="array" ref="L348">_xlfn.IFS(K348&gt;=26,"Alto",K348&lt;11,"Baixo",K348&lt;26,"Médio")</f>
        <v>Médio</v>
      </c>
      <c r="M348" t="str">
        <f>IF(AND(Tabela13[[#This Row],[flag_inadimplente]]="Sim",Tabela13[[#This Row],[nivel_risco]]="Alto"),"Negado","Aprovado")</f>
        <v>Aprovado</v>
      </c>
      <c r="N348" t="str">
        <f>IF(AND(Tabela13[[#This Row],[credito_tomado]]&gt;50000,Tabela13[[#This Row],[flag_inadimplente]]="Sim"),"Negado","Aprovado")</f>
        <v>Aprovado</v>
      </c>
      <c r="O348" s="4">
        <f>IF(AND(Tabela13[[#This Row],[analise_risco]]="Negado",Tabela13[[#This Row],[analise_credito]]="Negado"),0,IF(Tabela13[[#This Row],[status]]="Ativo",Tabela13[[#This Row],[valor_solicitado]]*8%,0))</f>
        <v>240</v>
      </c>
      <c r="P348" s="4">
        <v>3000</v>
      </c>
    </row>
    <row r="349" spans="1:16">
      <c r="A349" t="s">
        <v>71</v>
      </c>
      <c r="B349" t="s">
        <v>752</v>
      </c>
      <c r="C349" s="2" t="s">
        <v>753</v>
      </c>
      <c r="D349" s="24">
        <v>56</v>
      </c>
      <c r="E349" s="3">
        <v>25710</v>
      </c>
      <c r="F349" t="s">
        <v>147</v>
      </c>
      <c r="G349" t="s">
        <v>98</v>
      </c>
      <c r="H349" s="4">
        <v>14100</v>
      </c>
      <c r="I349" s="4">
        <v>1500</v>
      </c>
      <c r="J349" s="5" t="s">
        <v>45</v>
      </c>
      <c r="K349" s="6">
        <v>26</v>
      </c>
      <c r="L349" t="str" cm="1">
        <f t="array" ref="L349">_xlfn.IFS(K349&gt;=26,"Alto",K349&lt;11,"Baixo",K349&lt;26,"Médio")</f>
        <v>Alto</v>
      </c>
      <c r="M349" t="str">
        <f>IF(AND(Tabela13[[#This Row],[flag_inadimplente]]="Sim",Tabela13[[#This Row],[nivel_risco]]="Alto"),"Negado","Aprovado")</f>
        <v>Aprovado</v>
      </c>
      <c r="N349" t="str">
        <f>IF(AND(Tabela13[[#This Row],[credito_tomado]]&gt;50000,Tabela13[[#This Row],[flag_inadimplente]]="Sim"),"Negado","Aprovado")</f>
        <v>Aprovado</v>
      </c>
      <c r="O349" s="4">
        <f>IF(AND(Tabela13[[#This Row],[analise_risco]]="Negado",Tabela13[[#This Row],[analise_credito]]="Negado"),0,IF(Tabela13[[#This Row],[status]]="Ativo",Tabela13[[#This Row],[valor_solicitado]]*8%,0))</f>
        <v>2880</v>
      </c>
      <c r="P349" s="4">
        <v>36000</v>
      </c>
    </row>
    <row r="350" spans="1:16">
      <c r="A350" t="s">
        <v>71</v>
      </c>
      <c r="B350" t="s">
        <v>754</v>
      </c>
      <c r="C350" s="2" t="s">
        <v>755</v>
      </c>
      <c r="D350" s="24">
        <v>28</v>
      </c>
      <c r="E350" s="3">
        <v>35887</v>
      </c>
      <c r="F350" t="s">
        <v>152</v>
      </c>
      <c r="G350" t="s">
        <v>123</v>
      </c>
      <c r="H350" s="4">
        <v>2000</v>
      </c>
      <c r="I350" s="4">
        <v>51000</v>
      </c>
      <c r="J350" s="5" t="s">
        <v>45</v>
      </c>
      <c r="K350" s="6">
        <v>12</v>
      </c>
      <c r="L350" t="str" cm="1">
        <f t="array" ref="L350">_xlfn.IFS(K350&gt;=26,"Alto",K350&lt;11,"Baixo",K350&lt;26,"Médio")</f>
        <v>Médio</v>
      </c>
      <c r="M350" t="str">
        <f>IF(AND(Tabela13[[#This Row],[flag_inadimplente]]="Sim",Tabela13[[#This Row],[nivel_risco]]="Alto"),"Negado","Aprovado")</f>
        <v>Aprovado</v>
      </c>
      <c r="N350" t="str">
        <f>IF(AND(Tabela13[[#This Row],[credito_tomado]]&gt;50000,Tabela13[[#This Row],[flag_inadimplente]]="Sim"),"Negado","Aprovado")</f>
        <v>Aprovado</v>
      </c>
      <c r="O350" s="4">
        <f>IF(AND(Tabela13[[#This Row],[analise_risco]]="Negado",Tabela13[[#This Row],[analise_credito]]="Negado"),0,IF(Tabela13[[#This Row],[status]]="Ativo",Tabela13[[#This Row],[valor_solicitado]]*8%,0))</f>
        <v>5800</v>
      </c>
      <c r="P350" s="4">
        <v>72500</v>
      </c>
    </row>
    <row r="351" spans="1:16">
      <c r="A351" t="s">
        <v>71</v>
      </c>
      <c r="B351" t="s">
        <v>756</v>
      </c>
      <c r="C351" s="2" t="s">
        <v>757</v>
      </c>
      <c r="D351" s="24">
        <v>57</v>
      </c>
      <c r="E351" s="3">
        <v>25238</v>
      </c>
      <c r="F351" t="s">
        <v>198</v>
      </c>
      <c r="G351" t="s">
        <v>84</v>
      </c>
      <c r="H351" s="4">
        <v>3200</v>
      </c>
      <c r="I351" s="8" t="s">
        <v>80</v>
      </c>
      <c r="J351" s="5" t="s">
        <v>45</v>
      </c>
      <c r="K351" s="6">
        <v>18</v>
      </c>
      <c r="L351" t="str" cm="1">
        <f t="array" ref="L351">_xlfn.IFS(K351&gt;=26,"Alto",K351&lt;11,"Baixo",K351&lt;26,"Médio")</f>
        <v>Médio</v>
      </c>
      <c r="M351" t="str">
        <f>IF(AND(Tabela13[[#This Row],[flag_inadimplente]]="Sim",Tabela13[[#This Row],[nivel_risco]]="Alto"),"Negado","Aprovado")</f>
        <v>Aprovado</v>
      </c>
      <c r="N351" t="str">
        <f>IF(AND(Tabela13[[#This Row],[credito_tomado]]&gt;50000,Tabela13[[#This Row],[flag_inadimplente]]="Sim"),"Negado","Aprovado")</f>
        <v>Aprovado</v>
      </c>
      <c r="O351" s="4">
        <f>IF(AND(Tabela13[[#This Row],[analise_risco]]="Negado",Tabela13[[#This Row],[analise_credito]]="Negado"),0,IF(Tabela13[[#This Row],[status]]="Ativo",Tabela13[[#This Row],[valor_solicitado]]*8%,0))</f>
        <v>5120</v>
      </c>
      <c r="P351" s="4">
        <v>64000</v>
      </c>
    </row>
    <row r="352" spans="1:16">
      <c r="A352" t="s">
        <v>71</v>
      </c>
      <c r="B352" t="s">
        <v>758</v>
      </c>
      <c r="C352" s="2" t="s">
        <v>759</v>
      </c>
      <c r="D352" s="24">
        <v>60</v>
      </c>
      <c r="E352" s="3">
        <v>24054</v>
      </c>
      <c r="F352" t="s">
        <v>107</v>
      </c>
      <c r="G352" t="s">
        <v>108</v>
      </c>
      <c r="H352" s="4">
        <v>22600</v>
      </c>
      <c r="I352" s="4">
        <v>80000</v>
      </c>
      <c r="J352" s="5" t="s">
        <v>45</v>
      </c>
      <c r="K352" s="6">
        <v>7</v>
      </c>
      <c r="L352" t="str" cm="1">
        <f t="array" ref="L352">_xlfn.IFS(K352&gt;=26,"Alto",K352&lt;11,"Baixo",K352&lt;26,"Médio")</f>
        <v>Baixo</v>
      </c>
      <c r="M352" t="str">
        <f>IF(AND(Tabela13[[#This Row],[flag_inadimplente]]="Sim",Tabela13[[#This Row],[nivel_risco]]="Alto"),"Negado","Aprovado")</f>
        <v>Aprovado</v>
      </c>
      <c r="N352" t="str">
        <f>IF(AND(Tabela13[[#This Row],[credito_tomado]]&gt;50000,Tabela13[[#This Row],[flag_inadimplente]]="Sim"),"Negado","Aprovado")</f>
        <v>Aprovado</v>
      </c>
      <c r="O352" s="4">
        <f>IF(AND(Tabela13[[#This Row],[analise_risco]]="Negado",Tabela13[[#This Row],[analise_credito]]="Negado"),0,IF(Tabela13[[#This Row],[status]]="Ativo",Tabela13[[#This Row],[valor_solicitado]]*8%,0))</f>
        <v>4680</v>
      </c>
      <c r="P352" s="4">
        <v>58500</v>
      </c>
    </row>
    <row r="353" spans="1:16">
      <c r="A353" t="s">
        <v>71</v>
      </c>
      <c r="B353" t="s">
        <v>758</v>
      </c>
      <c r="C353" s="2" t="s">
        <v>760</v>
      </c>
      <c r="D353" s="24">
        <v>67</v>
      </c>
      <c r="E353" s="3">
        <v>21497</v>
      </c>
      <c r="F353" t="s">
        <v>101</v>
      </c>
      <c r="G353" t="s">
        <v>102</v>
      </c>
      <c r="H353" s="4">
        <v>21600</v>
      </c>
      <c r="I353" s="4">
        <v>73500</v>
      </c>
      <c r="J353" s="5" t="s">
        <v>46</v>
      </c>
      <c r="K353" s="6">
        <v>9</v>
      </c>
      <c r="L353" t="str" cm="1">
        <f t="array" ref="L353">_xlfn.IFS(K353&gt;=26,"Alto",K353&lt;11,"Baixo",K353&lt;26,"Médio")</f>
        <v>Baixo</v>
      </c>
      <c r="M353" t="str">
        <f>IF(AND(Tabela13[[#This Row],[flag_inadimplente]]="Sim",Tabela13[[#This Row],[nivel_risco]]="Alto"),"Negado","Aprovado")</f>
        <v>Aprovado</v>
      </c>
      <c r="N353" t="str">
        <f>IF(AND(Tabela13[[#This Row],[credito_tomado]]&gt;50000,Tabela13[[#This Row],[flag_inadimplente]]="Sim"),"Negado","Aprovado")</f>
        <v>Negado</v>
      </c>
      <c r="O353" s="4">
        <f>IF(AND(Tabela13[[#This Row],[analise_risco]]="Negado",Tabela13[[#This Row],[analise_credito]]="Negado"),0,IF(Tabela13[[#This Row],[status]]="Ativo",Tabela13[[#This Row],[valor_solicitado]]*8%,0))</f>
        <v>1960</v>
      </c>
      <c r="P353" s="4">
        <v>24500</v>
      </c>
    </row>
    <row r="354" spans="1:16">
      <c r="A354" t="s">
        <v>85</v>
      </c>
      <c r="B354" t="s">
        <v>761</v>
      </c>
      <c r="C354" s="2" t="s">
        <v>211</v>
      </c>
      <c r="D354" s="24">
        <v>61</v>
      </c>
      <c r="E354" s="3">
        <v>23932</v>
      </c>
      <c r="F354" t="s">
        <v>83</v>
      </c>
      <c r="G354" t="s">
        <v>84</v>
      </c>
      <c r="H354" s="4">
        <v>4100</v>
      </c>
      <c r="I354" s="4">
        <v>78000</v>
      </c>
      <c r="J354" s="5" t="s">
        <v>45</v>
      </c>
      <c r="K354" s="6">
        <v>25</v>
      </c>
      <c r="L354" t="str" cm="1">
        <f t="array" ref="L354">_xlfn.IFS(K354&gt;=26,"Alto",K354&lt;11,"Baixo",K354&lt;26,"Médio")</f>
        <v>Médio</v>
      </c>
      <c r="M354" t="str">
        <f>IF(AND(Tabela13[[#This Row],[flag_inadimplente]]="Sim",Tabela13[[#This Row],[nivel_risco]]="Alto"),"Negado","Aprovado")</f>
        <v>Aprovado</v>
      </c>
      <c r="N354" t="str">
        <f>IF(AND(Tabela13[[#This Row],[credito_tomado]]&gt;50000,Tabela13[[#This Row],[flag_inadimplente]]="Sim"),"Negado","Aprovado")</f>
        <v>Aprovado</v>
      </c>
      <c r="O354" s="4">
        <f>IF(AND(Tabela13[[#This Row],[analise_risco]]="Negado",Tabela13[[#This Row],[analise_credito]]="Negado"),0,IF(Tabela13[[#This Row],[status]]="Ativo",Tabela13[[#This Row],[valor_solicitado]]*8%,0))</f>
        <v>0</v>
      </c>
      <c r="P354" s="4">
        <v>48000</v>
      </c>
    </row>
    <row r="355" spans="1:16">
      <c r="A355" t="s">
        <v>71</v>
      </c>
      <c r="B355" t="s">
        <v>762</v>
      </c>
      <c r="C355" s="2" t="s">
        <v>763</v>
      </c>
      <c r="D355" s="24">
        <v>46</v>
      </c>
      <c r="E355" s="3">
        <v>29197</v>
      </c>
      <c r="F355" t="s">
        <v>74</v>
      </c>
      <c r="G355" t="s">
        <v>75</v>
      </c>
      <c r="H355" s="4">
        <v>3200</v>
      </c>
      <c r="I355" s="4">
        <v>0</v>
      </c>
      <c r="J355" s="5" t="s">
        <v>45</v>
      </c>
      <c r="K355" s="6">
        <v>16</v>
      </c>
      <c r="L355" t="str" cm="1">
        <f t="array" ref="L355">_xlfn.IFS(K355&gt;=26,"Alto",K355&lt;11,"Baixo",K355&lt;26,"Médio")</f>
        <v>Médio</v>
      </c>
      <c r="M355" t="str">
        <f>IF(AND(Tabela13[[#This Row],[flag_inadimplente]]="Sim",Tabela13[[#This Row],[nivel_risco]]="Alto"),"Negado","Aprovado")</f>
        <v>Aprovado</v>
      </c>
      <c r="N355" t="str">
        <f>IF(AND(Tabela13[[#This Row],[credito_tomado]]&gt;50000,Tabela13[[#This Row],[flag_inadimplente]]="Sim"),"Negado","Aprovado")</f>
        <v>Aprovado</v>
      </c>
      <c r="O355" s="4">
        <f>IF(AND(Tabela13[[#This Row],[analise_risco]]="Negado",Tabela13[[#This Row],[analise_credito]]="Negado"),0,IF(Tabela13[[#This Row],[status]]="Ativo",Tabela13[[#This Row],[valor_solicitado]]*8%,0))</f>
        <v>4920</v>
      </c>
      <c r="P355" s="4">
        <v>61500</v>
      </c>
    </row>
    <row r="356" spans="1:16">
      <c r="A356" t="s">
        <v>71</v>
      </c>
      <c r="B356" t="s">
        <v>764</v>
      </c>
      <c r="C356" s="2" t="s">
        <v>765</v>
      </c>
      <c r="D356" s="24" t="s">
        <v>80</v>
      </c>
      <c r="E356" s="3">
        <v>39230</v>
      </c>
      <c r="F356" t="s">
        <v>78</v>
      </c>
      <c r="G356" t="s">
        <v>79</v>
      </c>
      <c r="H356" s="4">
        <v>18000</v>
      </c>
      <c r="I356" s="4">
        <v>49500</v>
      </c>
      <c r="J356" s="5" t="s">
        <v>45</v>
      </c>
      <c r="K356" s="6">
        <v>25</v>
      </c>
      <c r="L356" t="str" cm="1">
        <f t="array" ref="L356">_xlfn.IFS(K356&gt;=26,"Alto",K356&lt;11,"Baixo",K356&lt;26,"Médio")</f>
        <v>Médio</v>
      </c>
      <c r="M356" t="str">
        <f>IF(AND(Tabela13[[#This Row],[flag_inadimplente]]="Sim",Tabela13[[#This Row],[nivel_risco]]="Alto"),"Negado","Aprovado")</f>
        <v>Aprovado</v>
      </c>
      <c r="N356" t="str">
        <f>IF(AND(Tabela13[[#This Row],[credito_tomado]]&gt;50000,Tabela13[[#This Row],[flag_inadimplente]]="Sim"),"Negado","Aprovado")</f>
        <v>Aprovado</v>
      </c>
      <c r="O356" s="4">
        <f>IF(AND(Tabela13[[#This Row],[analise_risco]]="Negado",Tabela13[[#This Row],[analise_credito]]="Negado"),0,IF(Tabela13[[#This Row],[status]]="Ativo",Tabela13[[#This Row],[valor_solicitado]]*8%,0))</f>
        <v>3720</v>
      </c>
      <c r="P356" s="4">
        <v>46500</v>
      </c>
    </row>
    <row r="357" spans="1:16">
      <c r="A357" t="s">
        <v>85</v>
      </c>
      <c r="B357" t="s">
        <v>766</v>
      </c>
      <c r="C357" s="2" t="s">
        <v>767</v>
      </c>
      <c r="D357" s="24">
        <v>33</v>
      </c>
      <c r="E357" s="3">
        <v>33955</v>
      </c>
      <c r="F357" t="s">
        <v>270</v>
      </c>
      <c r="G357" t="s">
        <v>98</v>
      </c>
      <c r="H357" s="4">
        <v>25700</v>
      </c>
      <c r="I357" s="4">
        <v>35000</v>
      </c>
      <c r="J357" s="5" t="s">
        <v>45</v>
      </c>
      <c r="K357" s="6">
        <v>40</v>
      </c>
      <c r="L357" t="str" cm="1">
        <f t="array" ref="L357">_xlfn.IFS(K357&gt;=26,"Alto",K357&lt;11,"Baixo",K357&lt;26,"Médio")</f>
        <v>Alto</v>
      </c>
      <c r="M357" t="str">
        <f>IF(AND(Tabela13[[#This Row],[flag_inadimplente]]="Sim",Tabela13[[#This Row],[nivel_risco]]="Alto"),"Negado","Aprovado")</f>
        <v>Aprovado</v>
      </c>
      <c r="N357" t="str">
        <f>IF(AND(Tabela13[[#This Row],[credito_tomado]]&gt;50000,Tabela13[[#This Row],[flag_inadimplente]]="Sim"),"Negado","Aprovado")</f>
        <v>Aprovado</v>
      </c>
      <c r="O357" s="4">
        <f>IF(AND(Tabela13[[#This Row],[analise_risco]]="Negado",Tabela13[[#This Row],[analise_credito]]="Negado"),0,IF(Tabela13[[#This Row],[status]]="Ativo",Tabela13[[#This Row],[valor_solicitado]]*8%,0))</f>
        <v>0</v>
      </c>
      <c r="P357" s="4">
        <v>1000</v>
      </c>
    </row>
    <row r="358" spans="1:16">
      <c r="A358" t="s">
        <v>85</v>
      </c>
      <c r="B358" t="s">
        <v>768</v>
      </c>
      <c r="C358" s="2" t="s">
        <v>769</v>
      </c>
      <c r="D358" s="24">
        <v>59</v>
      </c>
      <c r="E358" s="3">
        <v>24554</v>
      </c>
      <c r="F358" t="s">
        <v>74</v>
      </c>
      <c r="G358" t="s">
        <v>75</v>
      </c>
      <c r="H358" s="4">
        <v>15200</v>
      </c>
      <c r="I358" s="4">
        <v>11000</v>
      </c>
      <c r="J358" s="5" t="s">
        <v>45</v>
      </c>
      <c r="K358" s="6">
        <v>27</v>
      </c>
      <c r="L358" t="str" cm="1">
        <f t="array" ref="L358">_xlfn.IFS(K358&gt;=26,"Alto",K358&lt;11,"Baixo",K358&lt;26,"Médio")</f>
        <v>Alto</v>
      </c>
      <c r="M358" t="str">
        <f>IF(AND(Tabela13[[#This Row],[flag_inadimplente]]="Sim",Tabela13[[#This Row],[nivel_risco]]="Alto"),"Negado","Aprovado")</f>
        <v>Aprovado</v>
      </c>
      <c r="N358" t="str">
        <f>IF(AND(Tabela13[[#This Row],[credito_tomado]]&gt;50000,Tabela13[[#This Row],[flag_inadimplente]]="Sim"),"Negado","Aprovado")</f>
        <v>Aprovado</v>
      </c>
      <c r="O358" s="4">
        <f>IF(AND(Tabela13[[#This Row],[analise_risco]]="Negado",Tabela13[[#This Row],[analise_credito]]="Negado"),0,IF(Tabela13[[#This Row],[status]]="Ativo",Tabela13[[#This Row],[valor_solicitado]]*8%,0))</f>
        <v>0</v>
      </c>
      <c r="P358" s="4">
        <v>87000</v>
      </c>
    </row>
    <row r="359" spans="1:16">
      <c r="A359" s="7" t="s">
        <v>80</v>
      </c>
      <c r="B359" t="s">
        <v>770</v>
      </c>
      <c r="C359" s="2" t="s">
        <v>771</v>
      </c>
      <c r="D359" s="24">
        <v>54</v>
      </c>
      <c r="E359" s="3">
        <v>26403</v>
      </c>
      <c r="F359" t="s">
        <v>298</v>
      </c>
      <c r="G359" t="s">
        <v>79</v>
      </c>
      <c r="H359" s="4">
        <v>20800</v>
      </c>
      <c r="I359" s="4">
        <v>16000</v>
      </c>
      <c r="J359" s="5" t="s">
        <v>45</v>
      </c>
      <c r="K359" s="6">
        <v>32</v>
      </c>
      <c r="L359" t="str" cm="1">
        <f t="array" ref="L359">_xlfn.IFS(K359&gt;=26,"Alto",K359&lt;11,"Baixo",K359&lt;26,"Médio")</f>
        <v>Alto</v>
      </c>
      <c r="M359" t="str">
        <f>IF(AND(Tabela13[[#This Row],[flag_inadimplente]]="Sim",Tabela13[[#This Row],[nivel_risco]]="Alto"),"Negado","Aprovado")</f>
        <v>Aprovado</v>
      </c>
      <c r="N359" t="str">
        <f>IF(AND(Tabela13[[#This Row],[credito_tomado]]&gt;50000,Tabela13[[#This Row],[flag_inadimplente]]="Sim"),"Negado","Aprovado")</f>
        <v>Aprovado</v>
      </c>
      <c r="O359" s="4">
        <f>IF(AND(Tabela13[[#This Row],[analise_risco]]="Negado",Tabela13[[#This Row],[analise_credito]]="Negado"),0,IF(Tabela13[[#This Row],[status]]="Ativo",Tabela13[[#This Row],[valor_solicitado]]*8%,0))</f>
        <v>0</v>
      </c>
      <c r="P359" s="4">
        <v>31500</v>
      </c>
    </row>
    <row r="360" spans="1:16">
      <c r="A360" t="s">
        <v>85</v>
      </c>
      <c r="B360" t="s">
        <v>772</v>
      </c>
      <c r="C360" s="2" t="s">
        <v>773</v>
      </c>
      <c r="D360" s="24">
        <v>61</v>
      </c>
      <c r="E360" s="3">
        <v>23667</v>
      </c>
      <c r="F360" t="s">
        <v>74</v>
      </c>
      <c r="G360" t="s">
        <v>75</v>
      </c>
      <c r="H360" s="4">
        <v>23000</v>
      </c>
      <c r="I360" s="4">
        <v>44500</v>
      </c>
      <c r="J360" s="5" t="s">
        <v>46</v>
      </c>
      <c r="K360" s="6">
        <v>32</v>
      </c>
      <c r="L360" t="str" cm="1">
        <f t="array" ref="L360">_xlfn.IFS(K360&gt;=26,"Alto",K360&lt;11,"Baixo",K360&lt;26,"Médio")</f>
        <v>Alto</v>
      </c>
      <c r="M360" t="str">
        <f>IF(AND(Tabela13[[#This Row],[flag_inadimplente]]="Sim",Tabela13[[#This Row],[nivel_risco]]="Alto"),"Negado","Aprovado")</f>
        <v>Negado</v>
      </c>
      <c r="N360" t="str">
        <f>IF(AND(Tabela13[[#This Row],[credito_tomado]]&gt;50000,Tabela13[[#This Row],[flag_inadimplente]]="Sim"),"Negado","Aprovado")</f>
        <v>Aprovado</v>
      </c>
      <c r="O360" s="4">
        <f>IF(AND(Tabela13[[#This Row],[analise_risco]]="Negado",Tabela13[[#This Row],[analise_credito]]="Negado"),0,IF(Tabela13[[#This Row],[status]]="Ativo",Tabela13[[#This Row],[valor_solicitado]]*8%,0))</f>
        <v>0</v>
      </c>
      <c r="P360" s="4">
        <v>2000</v>
      </c>
    </row>
    <row r="361" spans="1:16">
      <c r="A361" t="s">
        <v>71</v>
      </c>
      <c r="B361" t="s">
        <v>774</v>
      </c>
      <c r="C361" s="2" t="s">
        <v>775</v>
      </c>
      <c r="D361" s="24">
        <v>70</v>
      </c>
      <c r="E361" s="3">
        <v>20533</v>
      </c>
      <c r="F361" t="s">
        <v>188</v>
      </c>
      <c r="G361" t="s">
        <v>195</v>
      </c>
      <c r="H361" s="4">
        <v>9100</v>
      </c>
      <c r="I361" s="4">
        <v>40500</v>
      </c>
      <c r="J361" s="5" t="s">
        <v>45</v>
      </c>
      <c r="K361" s="6">
        <v>35</v>
      </c>
      <c r="L361" t="str" cm="1">
        <f t="array" ref="L361">_xlfn.IFS(K361&gt;=26,"Alto",K361&lt;11,"Baixo",K361&lt;26,"Médio")</f>
        <v>Alto</v>
      </c>
      <c r="M361" t="str">
        <f>IF(AND(Tabela13[[#This Row],[flag_inadimplente]]="Sim",Tabela13[[#This Row],[nivel_risco]]="Alto"),"Negado","Aprovado")</f>
        <v>Aprovado</v>
      </c>
      <c r="N361" t="str">
        <f>IF(AND(Tabela13[[#This Row],[credito_tomado]]&gt;50000,Tabela13[[#This Row],[flag_inadimplente]]="Sim"),"Negado","Aprovado")</f>
        <v>Aprovado</v>
      </c>
      <c r="O361" s="4">
        <f>IF(AND(Tabela13[[#This Row],[analise_risco]]="Negado",Tabela13[[#This Row],[analise_credito]]="Negado"),0,IF(Tabela13[[#This Row],[status]]="Ativo",Tabela13[[#This Row],[valor_solicitado]]*8%,0))</f>
        <v>4240</v>
      </c>
      <c r="P361" s="4">
        <v>53000</v>
      </c>
    </row>
    <row r="362" spans="1:16">
      <c r="A362" t="s">
        <v>71</v>
      </c>
      <c r="B362" t="s">
        <v>776</v>
      </c>
      <c r="C362" s="2" t="s">
        <v>777</v>
      </c>
      <c r="D362" s="24">
        <v>64</v>
      </c>
      <c r="E362" s="3">
        <v>22836</v>
      </c>
      <c r="F362" t="s">
        <v>93</v>
      </c>
      <c r="G362" t="s">
        <v>94</v>
      </c>
      <c r="H362" s="4">
        <v>24300</v>
      </c>
      <c r="I362" s="4">
        <v>16500</v>
      </c>
      <c r="J362" s="5" t="s">
        <v>46</v>
      </c>
      <c r="K362" s="6">
        <v>24</v>
      </c>
      <c r="L362" t="str" cm="1">
        <f t="array" ref="L362">_xlfn.IFS(K362&gt;=26,"Alto",K362&lt;11,"Baixo",K362&lt;26,"Médio")</f>
        <v>Médio</v>
      </c>
      <c r="M362" t="str">
        <f>IF(AND(Tabela13[[#This Row],[flag_inadimplente]]="Sim",Tabela13[[#This Row],[nivel_risco]]="Alto"),"Negado","Aprovado")</f>
        <v>Aprovado</v>
      </c>
      <c r="N362" t="str">
        <f>IF(AND(Tabela13[[#This Row],[credito_tomado]]&gt;50000,Tabela13[[#This Row],[flag_inadimplente]]="Sim"),"Negado","Aprovado")</f>
        <v>Aprovado</v>
      </c>
      <c r="O362" s="4">
        <f>IF(AND(Tabela13[[#This Row],[analise_risco]]="Negado",Tabela13[[#This Row],[analise_credito]]="Negado"),0,IF(Tabela13[[#This Row],[status]]="Ativo",Tabela13[[#This Row],[valor_solicitado]]*8%,0))</f>
        <v>4560</v>
      </c>
      <c r="P362" s="4">
        <v>57000</v>
      </c>
    </row>
    <row r="363" spans="1:16">
      <c r="A363" t="s">
        <v>71</v>
      </c>
      <c r="B363" t="s">
        <v>778</v>
      </c>
      <c r="C363" s="2" t="s">
        <v>779</v>
      </c>
      <c r="D363" s="24">
        <v>44</v>
      </c>
      <c r="E363" s="3">
        <v>29892</v>
      </c>
      <c r="F363" t="s">
        <v>139</v>
      </c>
      <c r="G363" t="s">
        <v>140</v>
      </c>
      <c r="H363" s="4">
        <v>20600</v>
      </c>
      <c r="I363" s="4">
        <v>8000</v>
      </c>
      <c r="J363" s="5" t="s">
        <v>45</v>
      </c>
      <c r="K363" s="6">
        <v>39</v>
      </c>
      <c r="L363" t="str" cm="1">
        <f t="array" ref="L363">_xlfn.IFS(K363&gt;=26,"Alto",K363&lt;11,"Baixo",K363&lt;26,"Médio")</f>
        <v>Alto</v>
      </c>
      <c r="M363" t="str">
        <f>IF(AND(Tabela13[[#This Row],[flag_inadimplente]]="Sim",Tabela13[[#This Row],[nivel_risco]]="Alto"),"Negado","Aprovado")</f>
        <v>Aprovado</v>
      </c>
      <c r="N363" t="str">
        <f>IF(AND(Tabela13[[#This Row],[credito_tomado]]&gt;50000,Tabela13[[#This Row],[flag_inadimplente]]="Sim"),"Negado","Aprovado")</f>
        <v>Aprovado</v>
      </c>
      <c r="O363" s="4">
        <f>IF(AND(Tabela13[[#This Row],[analise_risco]]="Negado",Tabela13[[#This Row],[analise_credito]]="Negado"),0,IF(Tabela13[[#This Row],[status]]="Ativo",Tabela13[[#This Row],[valor_solicitado]]*8%,0))</f>
        <v>2880</v>
      </c>
      <c r="P363" s="4">
        <v>36000</v>
      </c>
    </row>
    <row r="364" spans="1:16">
      <c r="A364" t="s">
        <v>85</v>
      </c>
      <c r="B364" t="s">
        <v>780</v>
      </c>
      <c r="C364" s="2" t="s">
        <v>781</v>
      </c>
      <c r="D364" s="24" t="s">
        <v>80</v>
      </c>
      <c r="E364" s="3">
        <v>38001</v>
      </c>
      <c r="F364" t="s">
        <v>147</v>
      </c>
      <c r="G364" t="s">
        <v>98</v>
      </c>
      <c r="H364" s="4">
        <v>2100</v>
      </c>
      <c r="I364" s="4">
        <v>79500</v>
      </c>
      <c r="J364" s="5" t="s">
        <v>46</v>
      </c>
      <c r="K364" s="6">
        <v>29</v>
      </c>
      <c r="L364" t="str" cm="1">
        <f t="array" ref="L364">_xlfn.IFS(K364&gt;=26,"Alto",K364&lt;11,"Baixo",K364&lt;26,"Médio")</f>
        <v>Alto</v>
      </c>
      <c r="M364" t="str">
        <f>IF(AND(Tabela13[[#This Row],[flag_inadimplente]]="Sim",Tabela13[[#This Row],[nivel_risco]]="Alto"),"Negado","Aprovado")</f>
        <v>Negado</v>
      </c>
      <c r="N364" t="str">
        <f>IF(AND(Tabela13[[#This Row],[credito_tomado]]&gt;50000,Tabela13[[#This Row],[flag_inadimplente]]="Sim"),"Negado","Aprovado")</f>
        <v>Negado</v>
      </c>
      <c r="O364" s="4">
        <f>IF(AND(Tabela13[[#This Row],[analise_risco]]="Negado",Tabela13[[#This Row],[analise_credito]]="Negado"),0,IF(Tabela13[[#This Row],[status]]="Ativo",Tabela13[[#This Row],[valor_solicitado]]*8%,0))</f>
        <v>0</v>
      </c>
      <c r="P364" s="4">
        <v>64000</v>
      </c>
    </row>
    <row r="365" spans="1:16">
      <c r="A365" t="s">
        <v>71</v>
      </c>
      <c r="B365" t="s">
        <v>782</v>
      </c>
      <c r="C365" s="2" t="s">
        <v>783</v>
      </c>
      <c r="D365" s="24">
        <v>68</v>
      </c>
      <c r="E365" s="3">
        <v>21162</v>
      </c>
      <c r="F365" t="s">
        <v>97</v>
      </c>
      <c r="G365" t="s">
        <v>98</v>
      </c>
      <c r="H365" s="4">
        <v>11500</v>
      </c>
      <c r="I365" s="4">
        <v>17500</v>
      </c>
      <c r="J365" s="5" t="s">
        <v>45</v>
      </c>
      <c r="K365" s="6">
        <v>19</v>
      </c>
      <c r="L365" t="str" cm="1">
        <f t="array" ref="L365">_xlfn.IFS(K365&gt;=26,"Alto",K365&lt;11,"Baixo",K365&lt;26,"Médio")</f>
        <v>Médio</v>
      </c>
      <c r="M365" t="str">
        <f>IF(AND(Tabela13[[#This Row],[flag_inadimplente]]="Sim",Tabela13[[#This Row],[nivel_risco]]="Alto"),"Negado","Aprovado")</f>
        <v>Aprovado</v>
      </c>
      <c r="N365" t="str">
        <f>IF(AND(Tabela13[[#This Row],[credito_tomado]]&gt;50000,Tabela13[[#This Row],[flag_inadimplente]]="Sim"),"Negado","Aprovado")</f>
        <v>Aprovado</v>
      </c>
      <c r="O365" s="4">
        <f>IF(AND(Tabela13[[#This Row],[analise_risco]]="Negado",Tabela13[[#This Row],[analise_credito]]="Negado"),0,IF(Tabela13[[#This Row],[status]]="Ativo",Tabela13[[#This Row],[valor_solicitado]]*8%,0))</f>
        <v>2080</v>
      </c>
      <c r="P365" s="4">
        <v>26000</v>
      </c>
    </row>
    <row r="366" spans="1:16">
      <c r="A366" t="s">
        <v>71</v>
      </c>
      <c r="B366" t="s">
        <v>782</v>
      </c>
      <c r="C366" s="2" t="s">
        <v>784</v>
      </c>
      <c r="D366" s="24">
        <v>65</v>
      </c>
      <c r="E366" s="3">
        <v>22436</v>
      </c>
      <c r="F366" t="s">
        <v>107</v>
      </c>
      <c r="G366" t="s">
        <v>108</v>
      </c>
      <c r="H366" s="4">
        <v>12700</v>
      </c>
      <c r="I366" s="4">
        <v>60500</v>
      </c>
      <c r="J366" s="5" t="s">
        <v>45</v>
      </c>
      <c r="K366" s="6">
        <v>36</v>
      </c>
      <c r="L366" t="str" cm="1">
        <f t="array" ref="L366">_xlfn.IFS(K366&gt;=26,"Alto",K366&lt;11,"Baixo",K366&lt;26,"Médio")</f>
        <v>Alto</v>
      </c>
      <c r="M366" t="str">
        <f>IF(AND(Tabela13[[#This Row],[flag_inadimplente]]="Sim",Tabela13[[#This Row],[nivel_risco]]="Alto"),"Negado","Aprovado")</f>
        <v>Aprovado</v>
      </c>
      <c r="N366" t="str">
        <f>IF(AND(Tabela13[[#This Row],[credito_tomado]]&gt;50000,Tabela13[[#This Row],[flag_inadimplente]]="Sim"),"Negado","Aprovado")</f>
        <v>Aprovado</v>
      </c>
      <c r="O366" s="4">
        <f>IF(AND(Tabela13[[#This Row],[analise_risco]]="Negado",Tabela13[[#This Row],[analise_credito]]="Negado"),0,IF(Tabela13[[#This Row],[status]]="Ativo",Tabela13[[#This Row],[valor_solicitado]]*8%,0))</f>
        <v>2240</v>
      </c>
      <c r="P366" s="4">
        <v>28000</v>
      </c>
    </row>
    <row r="367" spans="1:16">
      <c r="A367" t="s">
        <v>85</v>
      </c>
      <c r="B367" t="s">
        <v>785</v>
      </c>
      <c r="C367" s="2" t="s">
        <v>786</v>
      </c>
      <c r="D367" s="24">
        <v>57</v>
      </c>
      <c r="E367" s="3">
        <v>25206</v>
      </c>
      <c r="F367" t="s">
        <v>83</v>
      </c>
      <c r="G367" t="s">
        <v>84</v>
      </c>
      <c r="H367" s="4">
        <v>3400</v>
      </c>
      <c r="I367" s="4">
        <v>0</v>
      </c>
      <c r="J367" s="5" t="s">
        <v>45</v>
      </c>
      <c r="K367" s="6">
        <v>20</v>
      </c>
      <c r="L367" t="str" cm="1">
        <f t="array" ref="L367">_xlfn.IFS(K367&gt;=26,"Alto",K367&lt;11,"Baixo",K367&lt;26,"Médio")</f>
        <v>Médio</v>
      </c>
      <c r="M367" t="str">
        <f>IF(AND(Tabela13[[#This Row],[flag_inadimplente]]="Sim",Tabela13[[#This Row],[nivel_risco]]="Alto"),"Negado","Aprovado")</f>
        <v>Aprovado</v>
      </c>
      <c r="N367" t="str">
        <f>IF(AND(Tabela13[[#This Row],[credito_tomado]]&gt;50000,Tabela13[[#This Row],[flag_inadimplente]]="Sim"),"Negado","Aprovado")</f>
        <v>Aprovado</v>
      </c>
      <c r="O367" s="4">
        <f>IF(AND(Tabela13[[#This Row],[analise_risco]]="Negado",Tabela13[[#This Row],[analise_credito]]="Negado"),0,IF(Tabela13[[#This Row],[status]]="Ativo",Tabela13[[#This Row],[valor_solicitado]]*8%,0))</f>
        <v>0</v>
      </c>
      <c r="P367" s="4">
        <v>19500</v>
      </c>
    </row>
    <row r="368" spans="1:16">
      <c r="A368" t="s">
        <v>85</v>
      </c>
      <c r="B368" t="s">
        <v>785</v>
      </c>
      <c r="C368" s="2" t="s">
        <v>786</v>
      </c>
      <c r="D368" s="24">
        <v>57</v>
      </c>
      <c r="E368" s="3">
        <v>25206</v>
      </c>
      <c r="F368" t="s">
        <v>83</v>
      </c>
      <c r="G368" t="s">
        <v>84</v>
      </c>
      <c r="H368" s="4">
        <v>3400</v>
      </c>
      <c r="I368" s="4">
        <v>23500</v>
      </c>
      <c r="J368" s="5" t="s">
        <v>45</v>
      </c>
      <c r="K368" s="6">
        <v>20</v>
      </c>
      <c r="L368" t="str" cm="1">
        <f t="array" ref="L368">_xlfn.IFS(K368&gt;=26,"Alto",K368&lt;11,"Baixo",K368&lt;26,"Médio")</f>
        <v>Médio</v>
      </c>
      <c r="M368" t="str">
        <f>IF(AND(Tabela13[[#This Row],[flag_inadimplente]]="Sim",Tabela13[[#This Row],[nivel_risco]]="Alto"),"Negado","Aprovado")</f>
        <v>Aprovado</v>
      </c>
      <c r="N368" t="str">
        <f>IF(AND(Tabela13[[#This Row],[credito_tomado]]&gt;50000,Tabela13[[#This Row],[flag_inadimplente]]="Sim"),"Negado","Aprovado")</f>
        <v>Aprovado</v>
      </c>
      <c r="O368" s="4">
        <f>IF(AND(Tabela13[[#This Row],[analise_risco]]="Negado",Tabela13[[#This Row],[analise_credito]]="Negado"),0,IF(Tabela13[[#This Row],[status]]="Ativo",Tabela13[[#This Row],[valor_solicitado]]*8%,0))</f>
        <v>0</v>
      </c>
      <c r="P368" s="4">
        <v>50500</v>
      </c>
    </row>
    <row r="369" spans="1:16">
      <c r="A369" t="s">
        <v>85</v>
      </c>
      <c r="B369" t="s">
        <v>787</v>
      </c>
      <c r="C369" s="2" t="s">
        <v>788</v>
      </c>
      <c r="D369" s="24">
        <v>42</v>
      </c>
      <c r="E369" s="3">
        <v>30810</v>
      </c>
      <c r="F369" t="s">
        <v>101</v>
      </c>
      <c r="G369" t="s">
        <v>102</v>
      </c>
      <c r="H369" s="4">
        <v>18200</v>
      </c>
      <c r="I369" s="4">
        <v>31000</v>
      </c>
      <c r="J369" s="5" t="s">
        <v>45</v>
      </c>
      <c r="K369" s="6">
        <v>19</v>
      </c>
      <c r="L369" t="str" cm="1">
        <f t="array" ref="L369">_xlfn.IFS(K369&gt;=26,"Alto",K369&lt;11,"Baixo",K369&lt;26,"Médio")</f>
        <v>Médio</v>
      </c>
      <c r="M369" t="str">
        <f>IF(AND(Tabela13[[#This Row],[flag_inadimplente]]="Sim",Tabela13[[#This Row],[nivel_risco]]="Alto"),"Negado","Aprovado")</f>
        <v>Aprovado</v>
      </c>
      <c r="N369" t="str">
        <f>IF(AND(Tabela13[[#This Row],[credito_tomado]]&gt;50000,Tabela13[[#This Row],[flag_inadimplente]]="Sim"),"Negado","Aprovado")</f>
        <v>Aprovado</v>
      </c>
      <c r="O369" s="4">
        <f>IF(AND(Tabela13[[#This Row],[analise_risco]]="Negado",Tabela13[[#This Row],[analise_credito]]="Negado"),0,IF(Tabela13[[#This Row],[status]]="Ativo",Tabela13[[#This Row],[valor_solicitado]]*8%,0))</f>
        <v>0</v>
      </c>
      <c r="P369" s="4">
        <v>63500</v>
      </c>
    </row>
    <row r="370" spans="1:16">
      <c r="C370" s="2"/>
      <c r="E370" s="3"/>
      <c r="H370" s="4"/>
      <c r="I370" s="4"/>
      <c r="J370" s="5"/>
      <c r="K370" s="6"/>
      <c r="O370" s="4"/>
      <c r="P370" s="4"/>
    </row>
    <row r="371" spans="1:16">
      <c r="C371" s="2"/>
      <c r="E371" s="3"/>
      <c r="H371" s="4"/>
      <c r="I371" s="4"/>
      <c r="J371" s="5"/>
      <c r="K371" s="6"/>
      <c r="O371" s="4"/>
      <c r="P371" s="4"/>
    </row>
    <row r="372" spans="1:16">
      <c r="C372" s="2"/>
      <c r="E372" s="3"/>
      <c r="H372" s="4"/>
      <c r="I372" s="4"/>
      <c r="J372" s="5"/>
      <c r="K372" s="6"/>
      <c r="O372" s="4"/>
      <c r="P372" s="4"/>
    </row>
    <row r="373" spans="1:16">
      <c r="C373" s="2"/>
      <c r="E373" s="3"/>
      <c r="H373" s="4"/>
      <c r="I373" s="4"/>
      <c r="J373" s="5"/>
      <c r="K373" s="6"/>
      <c r="O373" s="4"/>
      <c r="P373" s="4"/>
    </row>
    <row r="374" spans="1:16">
      <c r="C374" s="2"/>
      <c r="E374" s="3"/>
      <c r="H374" s="4"/>
      <c r="I374" s="4"/>
      <c r="J374" s="5"/>
      <c r="K374" s="6"/>
      <c r="O374" s="4"/>
      <c r="P374" s="4"/>
    </row>
    <row r="375" spans="1:16">
      <c r="C375" s="2"/>
      <c r="E375" s="3"/>
      <c r="H375" s="4"/>
      <c r="I375" s="4"/>
      <c r="J375" s="5"/>
      <c r="K375" s="6"/>
      <c r="O375" s="4"/>
      <c r="P375" s="4"/>
    </row>
    <row r="376" spans="1:16">
      <c r="C376" s="2"/>
      <c r="E376" s="3"/>
      <c r="H376" s="4"/>
      <c r="I376" s="4"/>
      <c r="J376" s="5"/>
      <c r="K376" s="6"/>
      <c r="O376" s="4"/>
      <c r="P376" s="4"/>
    </row>
    <row r="377" spans="1:16">
      <c r="C377" s="2"/>
      <c r="E377" s="3"/>
      <c r="H377" s="4"/>
      <c r="I377" s="4"/>
      <c r="J377" s="5"/>
      <c r="K377" s="6"/>
      <c r="O377" s="4"/>
      <c r="P377" s="4"/>
    </row>
    <row r="378" spans="1:16">
      <c r="C378" s="2"/>
      <c r="E378" s="3"/>
      <c r="H378" s="4"/>
      <c r="I378" s="4"/>
      <c r="J378" s="5"/>
      <c r="K378" s="6"/>
      <c r="O378" s="4"/>
      <c r="P378" s="4"/>
    </row>
    <row r="379" spans="1:16">
      <c r="C379" s="2"/>
      <c r="E379" s="3"/>
      <c r="H379" s="4"/>
      <c r="I379" s="4"/>
      <c r="J379" s="5"/>
      <c r="K379" s="6"/>
      <c r="O379" s="4"/>
      <c r="P379" s="4"/>
    </row>
    <row r="380" spans="1:16">
      <c r="C380" s="2"/>
      <c r="E380" s="3"/>
      <c r="H380" s="4"/>
      <c r="I380" s="4"/>
      <c r="J380" s="5"/>
      <c r="K380" s="6"/>
      <c r="O380" s="4"/>
      <c r="P380" s="4"/>
    </row>
    <row r="381" spans="1:16">
      <c r="C381" s="2"/>
      <c r="E381" s="3"/>
      <c r="H381" s="4"/>
      <c r="I381" s="4"/>
      <c r="J381" s="5"/>
      <c r="K381" s="6"/>
      <c r="O381" s="4"/>
      <c r="P381" s="4"/>
    </row>
    <row r="382" spans="1:16">
      <c r="C382" s="2"/>
      <c r="E382" s="3"/>
      <c r="H382" s="4"/>
      <c r="I382" s="4"/>
      <c r="J382" s="5"/>
      <c r="K382" s="6"/>
      <c r="O382" s="4"/>
      <c r="P382" s="4"/>
    </row>
    <row r="383" spans="1:16">
      <c r="C383" s="2"/>
      <c r="E383" s="3"/>
      <c r="H383" s="4"/>
      <c r="I383" s="4"/>
      <c r="J383" s="5"/>
      <c r="K383" s="6"/>
      <c r="O383" s="4"/>
      <c r="P383" s="4"/>
    </row>
    <row r="384" spans="1:16">
      <c r="C384" s="2"/>
      <c r="E384" s="3"/>
      <c r="H384" s="4"/>
      <c r="I384" s="4"/>
      <c r="J384" s="5"/>
      <c r="K384" s="6"/>
      <c r="O384" s="4"/>
      <c r="P384" s="4"/>
    </row>
    <row r="385" spans="3:16">
      <c r="C385" s="2"/>
      <c r="E385" s="3"/>
      <c r="H385" s="4"/>
      <c r="I385" s="4"/>
      <c r="J385" s="5"/>
      <c r="K385" s="6"/>
      <c r="O385" s="4"/>
      <c r="P385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D85B-6378-40B2-AC9F-DDF2C83A201F}">
  <dimension ref="A1:D1000"/>
  <sheetViews>
    <sheetView workbookViewId="0">
      <selection activeCell="B18" sqref="B18"/>
    </sheetView>
  </sheetViews>
  <sheetFormatPr defaultRowHeight="15"/>
  <cols>
    <col min="1" max="1" width="64" style="9" bestFit="1" customWidth="1"/>
    <col min="2" max="2" width="18.7109375" style="9" bestFit="1" customWidth="1"/>
    <col min="3" max="3" width="104.5703125" style="9" bestFit="1" customWidth="1"/>
    <col min="4" max="4" width="87.5703125" style="9" bestFit="1" customWidth="1"/>
  </cols>
  <sheetData>
    <row r="1" spans="1:4">
      <c r="A1" s="16" t="s">
        <v>789</v>
      </c>
      <c r="B1" s="17" t="s">
        <v>790</v>
      </c>
      <c r="C1" s="17" t="s">
        <v>791</v>
      </c>
      <c r="D1" s="18" t="s">
        <v>792</v>
      </c>
    </row>
    <row r="2" spans="1:4">
      <c r="A2" s="10" t="s">
        <v>793</v>
      </c>
      <c r="B2" s="11" t="s">
        <v>55</v>
      </c>
      <c r="C2" s="11" t="s">
        <v>794</v>
      </c>
      <c r="D2" s="12" t="s">
        <v>795</v>
      </c>
    </row>
    <row r="3" spans="1:4">
      <c r="A3" s="10" t="s">
        <v>796</v>
      </c>
      <c r="B3" s="11" t="s">
        <v>56</v>
      </c>
      <c r="C3" s="11" t="s">
        <v>797</v>
      </c>
      <c r="D3" s="12" t="s">
        <v>798</v>
      </c>
    </row>
    <row r="4" spans="1:4">
      <c r="A4" s="10" t="s">
        <v>799</v>
      </c>
      <c r="B4" s="11" t="s">
        <v>57</v>
      </c>
      <c r="C4" s="11" t="s">
        <v>800</v>
      </c>
      <c r="D4" s="12" t="s">
        <v>801</v>
      </c>
    </row>
    <row r="5" spans="1:4">
      <c r="A5" s="10" t="s">
        <v>802</v>
      </c>
      <c r="B5" s="11" t="s">
        <v>58</v>
      </c>
      <c r="C5" s="11" t="s">
        <v>803</v>
      </c>
      <c r="D5" s="12" t="s">
        <v>804</v>
      </c>
    </row>
    <row r="6" spans="1:4">
      <c r="A6" s="10" t="s">
        <v>805</v>
      </c>
      <c r="B6" s="11" t="s">
        <v>59</v>
      </c>
      <c r="C6" s="11" t="s">
        <v>806</v>
      </c>
      <c r="D6" s="12" t="s">
        <v>807</v>
      </c>
    </row>
    <row r="7" spans="1:4">
      <c r="A7" s="10" t="s">
        <v>808</v>
      </c>
      <c r="B7" s="11" t="s">
        <v>60</v>
      </c>
      <c r="C7" s="11" t="s">
        <v>809</v>
      </c>
      <c r="D7" s="12" t="s">
        <v>810</v>
      </c>
    </row>
    <row r="8" spans="1:4">
      <c r="A8" s="10" t="s">
        <v>811</v>
      </c>
      <c r="B8" s="11" t="s">
        <v>61</v>
      </c>
      <c r="C8" s="11" t="s">
        <v>812</v>
      </c>
      <c r="D8" s="12" t="s">
        <v>813</v>
      </c>
    </row>
    <row r="9" spans="1:4">
      <c r="A9" s="10" t="s">
        <v>814</v>
      </c>
      <c r="B9" s="11" t="s">
        <v>62</v>
      </c>
      <c r="C9" s="11" t="s">
        <v>815</v>
      </c>
      <c r="D9" s="12" t="s">
        <v>816</v>
      </c>
    </row>
    <row r="10" spans="1:4">
      <c r="A10" s="10" t="s">
        <v>817</v>
      </c>
      <c r="B10" s="11" t="s">
        <v>63</v>
      </c>
      <c r="C10" s="11" t="s">
        <v>815</v>
      </c>
      <c r="D10" s="12" t="s">
        <v>818</v>
      </c>
    </row>
    <row r="11" spans="1:4">
      <c r="A11" s="10" t="s">
        <v>819</v>
      </c>
      <c r="B11" s="11" t="s">
        <v>64</v>
      </c>
      <c r="C11" s="11" t="s">
        <v>820</v>
      </c>
      <c r="D11" s="12" t="s">
        <v>821</v>
      </c>
    </row>
    <row r="12" spans="1:4">
      <c r="A12" s="10" t="s">
        <v>822</v>
      </c>
      <c r="B12" s="11" t="s">
        <v>65</v>
      </c>
      <c r="C12" s="11" t="s">
        <v>823</v>
      </c>
      <c r="D12" s="12" t="s">
        <v>824</v>
      </c>
    </row>
    <row r="13" spans="1:4">
      <c r="A13" s="10" t="s">
        <v>825</v>
      </c>
      <c r="B13" s="11" t="s">
        <v>66</v>
      </c>
      <c r="C13" s="11" t="s">
        <v>826</v>
      </c>
      <c r="D13" s="12" t="s">
        <v>827</v>
      </c>
    </row>
    <row r="14" spans="1:4">
      <c r="A14" s="10" t="s">
        <v>828</v>
      </c>
      <c r="B14" s="11" t="s">
        <v>67</v>
      </c>
      <c r="C14" s="11" t="s">
        <v>829</v>
      </c>
      <c r="D14" s="12" t="s">
        <v>830</v>
      </c>
    </row>
    <row r="15" spans="1:4">
      <c r="A15" s="10" t="s">
        <v>831</v>
      </c>
      <c r="B15" s="11" t="s">
        <v>68</v>
      </c>
      <c r="C15" s="11" t="s">
        <v>829</v>
      </c>
      <c r="D15" s="12" t="s">
        <v>832</v>
      </c>
    </row>
    <row r="16" spans="1:4">
      <c r="A16" s="10" t="s">
        <v>833</v>
      </c>
      <c r="B16" s="11" t="s">
        <v>69</v>
      </c>
      <c r="C16" s="11" t="s">
        <v>829</v>
      </c>
      <c r="D16" s="12" t="s">
        <v>834</v>
      </c>
    </row>
    <row r="17" spans="1:4">
      <c r="A17" s="13" t="s">
        <v>835</v>
      </c>
      <c r="B17" s="14" t="s">
        <v>70</v>
      </c>
      <c r="C17" s="14" t="s">
        <v>815</v>
      </c>
      <c r="D17" s="15" t="s">
        <v>836</v>
      </c>
    </row>
    <row r="18" spans="1:4">
      <c r="A18" s="19"/>
      <c r="B18" s="11"/>
      <c r="C18" s="11"/>
      <c r="D18" s="20"/>
    </row>
    <row r="19" spans="1:4">
      <c r="A19" s="19" t="s">
        <v>837</v>
      </c>
      <c r="B19" s="11"/>
      <c r="C19" s="11"/>
      <c r="D19" s="20"/>
    </row>
    <row r="20" spans="1:4">
      <c r="A20" s="19"/>
      <c r="B20" s="11"/>
      <c r="C20" s="11"/>
      <c r="D20" s="20"/>
    </row>
    <row r="21" spans="1:4">
      <c r="A21" s="19"/>
      <c r="B21" s="11"/>
      <c r="C21" s="11"/>
      <c r="D21" s="20"/>
    </row>
    <row r="22" spans="1:4">
      <c r="A22" s="19"/>
      <c r="B22" s="11"/>
      <c r="C22" s="11"/>
      <c r="D22" s="20"/>
    </row>
    <row r="23" spans="1:4">
      <c r="A23" s="19"/>
      <c r="B23" s="11"/>
      <c r="C23" s="11"/>
      <c r="D23" s="20"/>
    </row>
    <row r="24" spans="1:4">
      <c r="A24" s="19"/>
      <c r="B24" s="11"/>
      <c r="C24" s="11"/>
      <c r="D24" s="20"/>
    </row>
    <row r="25" spans="1:4">
      <c r="A25" s="19"/>
      <c r="B25" s="11"/>
      <c r="C25" s="11"/>
      <c r="D25" s="20"/>
    </row>
    <row r="26" spans="1:4">
      <c r="A26" s="19"/>
      <c r="B26" s="11"/>
      <c r="C26" s="11"/>
      <c r="D26" s="20"/>
    </row>
    <row r="27" spans="1:4">
      <c r="A27" s="19"/>
      <c r="B27" s="11"/>
      <c r="C27" s="11"/>
      <c r="D27" s="20"/>
    </row>
    <row r="28" spans="1:4">
      <c r="A28" s="19"/>
      <c r="B28" s="11"/>
      <c r="C28" s="11"/>
      <c r="D28" s="20"/>
    </row>
    <row r="29" spans="1:4">
      <c r="A29" s="19"/>
      <c r="B29" s="11"/>
      <c r="C29" s="11"/>
      <c r="D29" s="20"/>
    </row>
    <row r="30" spans="1:4">
      <c r="A30" s="19"/>
      <c r="B30" s="11"/>
      <c r="C30" s="11"/>
      <c r="D30" s="20"/>
    </row>
    <row r="31" spans="1:4">
      <c r="A31" s="19"/>
      <c r="B31" s="11"/>
      <c r="C31" s="11"/>
      <c r="D31" s="20"/>
    </row>
    <row r="32" spans="1:4">
      <c r="A32" s="19"/>
      <c r="B32" s="11"/>
      <c r="C32" s="11"/>
      <c r="D32" s="20"/>
    </row>
    <row r="33" spans="1:4">
      <c r="A33" s="19"/>
      <c r="B33" s="11"/>
      <c r="C33" s="11"/>
      <c r="D33" s="20"/>
    </row>
    <row r="34" spans="1:4">
      <c r="A34" s="19"/>
      <c r="B34" s="11"/>
      <c r="C34" s="11"/>
      <c r="D34" s="20"/>
    </row>
    <row r="35" spans="1:4">
      <c r="A35" s="19"/>
      <c r="B35" s="11"/>
      <c r="C35" s="11"/>
      <c r="D35" s="20"/>
    </row>
    <row r="36" spans="1:4">
      <c r="A36" s="19"/>
      <c r="B36" s="11"/>
      <c r="C36" s="11"/>
      <c r="D36" s="20"/>
    </row>
    <row r="37" spans="1:4">
      <c r="A37" s="19"/>
      <c r="B37" s="11"/>
      <c r="C37" s="11"/>
      <c r="D37" s="20"/>
    </row>
    <row r="38" spans="1:4">
      <c r="A38" s="19"/>
      <c r="B38" s="11"/>
      <c r="C38" s="11"/>
      <c r="D38" s="20"/>
    </row>
    <row r="39" spans="1:4">
      <c r="A39" s="19"/>
      <c r="B39" s="11"/>
      <c r="C39" s="11"/>
      <c r="D39" s="20"/>
    </row>
    <row r="40" spans="1:4">
      <c r="A40" s="19"/>
      <c r="B40" s="11"/>
      <c r="C40" s="11"/>
      <c r="D40" s="20"/>
    </row>
    <row r="41" spans="1:4">
      <c r="A41" s="19"/>
      <c r="B41" s="11"/>
      <c r="C41" s="11"/>
      <c r="D41" s="20"/>
    </row>
    <row r="42" spans="1:4">
      <c r="A42" s="19"/>
      <c r="B42" s="11"/>
      <c r="C42" s="11"/>
      <c r="D42" s="20"/>
    </row>
    <row r="43" spans="1:4">
      <c r="A43" s="19"/>
      <c r="B43" s="11"/>
      <c r="C43" s="11"/>
      <c r="D43" s="20"/>
    </row>
    <row r="44" spans="1:4">
      <c r="A44" s="19"/>
      <c r="B44" s="11"/>
      <c r="C44" s="11"/>
      <c r="D44" s="20"/>
    </row>
    <row r="45" spans="1:4">
      <c r="A45" s="19"/>
      <c r="B45" s="11"/>
      <c r="C45" s="11"/>
      <c r="D45" s="20"/>
    </row>
    <row r="46" spans="1:4">
      <c r="A46" s="19"/>
      <c r="B46" s="11"/>
      <c r="C46" s="11"/>
      <c r="D46" s="20"/>
    </row>
    <row r="47" spans="1:4">
      <c r="A47" s="19"/>
      <c r="B47" s="11"/>
      <c r="C47" s="11"/>
      <c r="D47" s="20"/>
    </row>
    <row r="48" spans="1:4">
      <c r="A48" s="19"/>
      <c r="B48" s="11"/>
      <c r="C48" s="11"/>
      <c r="D48" s="20"/>
    </row>
    <row r="49" spans="1:4">
      <c r="A49" s="19"/>
      <c r="B49" s="11"/>
      <c r="C49" s="11"/>
      <c r="D49" s="20"/>
    </row>
    <row r="50" spans="1:4">
      <c r="A50" s="19"/>
      <c r="B50" s="11"/>
      <c r="C50" s="11"/>
      <c r="D50" s="20"/>
    </row>
    <row r="51" spans="1:4">
      <c r="A51" s="19"/>
      <c r="B51" s="11"/>
      <c r="C51" s="11"/>
      <c r="D51" s="20"/>
    </row>
    <row r="52" spans="1:4">
      <c r="A52" s="19"/>
      <c r="B52" s="11"/>
      <c r="C52" s="11"/>
      <c r="D52" s="20"/>
    </row>
    <row r="53" spans="1:4">
      <c r="A53" s="19"/>
      <c r="B53" s="11"/>
      <c r="C53" s="11"/>
      <c r="D53" s="20"/>
    </row>
    <row r="54" spans="1:4">
      <c r="A54" s="19"/>
      <c r="B54" s="11"/>
      <c r="C54" s="11"/>
      <c r="D54" s="20"/>
    </row>
    <row r="55" spans="1:4">
      <c r="A55" s="19"/>
      <c r="B55" s="11"/>
      <c r="C55" s="11"/>
      <c r="D55" s="20"/>
    </row>
    <row r="56" spans="1:4">
      <c r="A56" s="19"/>
      <c r="B56" s="11"/>
      <c r="C56" s="11"/>
      <c r="D56" s="20"/>
    </row>
    <row r="57" spans="1:4">
      <c r="A57" s="19"/>
      <c r="B57" s="11"/>
      <c r="C57" s="11"/>
      <c r="D57" s="20"/>
    </row>
    <row r="58" spans="1:4">
      <c r="A58" s="19"/>
      <c r="B58" s="11"/>
      <c r="C58" s="11"/>
      <c r="D58" s="20"/>
    </row>
    <row r="59" spans="1:4">
      <c r="A59" s="19"/>
      <c r="B59" s="11"/>
      <c r="C59" s="11"/>
      <c r="D59" s="20"/>
    </row>
    <row r="60" spans="1:4">
      <c r="A60" s="19"/>
      <c r="B60" s="11"/>
      <c r="C60" s="11"/>
      <c r="D60" s="20"/>
    </row>
    <row r="61" spans="1:4">
      <c r="A61" s="19"/>
      <c r="B61" s="11"/>
      <c r="C61" s="11"/>
      <c r="D61" s="20"/>
    </row>
    <row r="62" spans="1:4">
      <c r="A62" s="19"/>
      <c r="B62" s="11"/>
      <c r="C62" s="11"/>
      <c r="D62" s="20"/>
    </row>
    <row r="63" spans="1:4">
      <c r="A63" s="19"/>
      <c r="B63" s="11"/>
      <c r="C63" s="11"/>
      <c r="D63" s="20"/>
    </row>
    <row r="64" spans="1:4">
      <c r="A64" s="19"/>
      <c r="B64" s="11"/>
      <c r="C64" s="11"/>
      <c r="D64" s="20"/>
    </row>
    <row r="65" spans="1:4">
      <c r="A65" s="19"/>
      <c r="B65" s="11"/>
      <c r="C65" s="11"/>
      <c r="D65" s="20"/>
    </row>
    <row r="66" spans="1:4">
      <c r="A66" s="19"/>
      <c r="B66" s="11"/>
      <c r="C66" s="11"/>
      <c r="D66" s="20"/>
    </row>
    <row r="67" spans="1:4">
      <c r="A67" s="19"/>
      <c r="B67" s="11"/>
      <c r="C67" s="11"/>
      <c r="D67" s="20"/>
    </row>
    <row r="68" spans="1:4">
      <c r="A68" s="19"/>
      <c r="B68" s="11"/>
      <c r="C68" s="11"/>
      <c r="D68" s="20"/>
    </row>
    <row r="69" spans="1:4">
      <c r="A69" s="19"/>
      <c r="B69" s="11"/>
      <c r="C69" s="11"/>
      <c r="D69" s="20"/>
    </row>
    <row r="70" spans="1:4">
      <c r="A70" s="19"/>
      <c r="B70" s="11"/>
      <c r="C70" s="11"/>
      <c r="D70" s="20"/>
    </row>
    <row r="71" spans="1:4">
      <c r="A71" s="19"/>
      <c r="B71" s="11"/>
      <c r="C71" s="11"/>
      <c r="D71" s="20"/>
    </row>
    <row r="72" spans="1:4">
      <c r="A72" s="19"/>
      <c r="B72" s="11"/>
      <c r="C72" s="11"/>
      <c r="D72" s="20"/>
    </row>
    <row r="73" spans="1:4">
      <c r="A73" s="19"/>
      <c r="B73" s="11"/>
      <c r="C73" s="11"/>
      <c r="D73" s="20"/>
    </row>
    <row r="74" spans="1:4">
      <c r="A74" s="19"/>
      <c r="B74" s="11"/>
      <c r="C74" s="11"/>
      <c r="D74" s="20"/>
    </row>
    <row r="75" spans="1:4">
      <c r="A75" s="19"/>
      <c r="B75" s="11"/>
      <c r="C75" s="11"/>
      <c r="D75" s="20"/>
    </row>
    <row r="76" spans="1:4">
      <c r="A76" s="19"/>
      <c r="B76" s="11"/>
      <c r="C76" s="11"/>
      <c r="D76" s="20"/>
    </row>
    <row r="77" spans="1:4">
      <c r="A77" s="19"/>
      <c r="B77" s="11"/>
      <c r="C77" s="11"/>
      <c r="D77" s="20"/>
    </row>
    <row r="78" spans="1:4">
      <c r="A78" s="19"/>
      <c r="B78" s="11"/>
      <c r="C78" s="11"/>
      <c r="D78" s="20"/>
    </row>
    <row r="79" spans="1:4">
      <c r="A79" s="19"/>
      <c r="B79" s="11"/>
      <c r="C79" s="11"/>
      <c r="D79" s="20"/>
    </row>
    <row r="80" spans="1:4">
      <c r="A80" s="19"/>
      <c r="B80" s="11"/>
      <c r="C80" s="11"/>
      <c r="D80" s="20"/>
    </row>
    <row r="81" spans="1:4">
      <c r="A81" s="19"/>
      <c r="B81" s="11"/>
      <c r="C81" s="11"/>
      <c r="D81" s="20"/>
    </row>
    <row r="82" spans="1:4">
      <c r="A82" s="19"/>
      <c r="B82" s="11"/>
      <c r="C82" s="11"/>
      <c r="D82" s="20"/>
    </row>
    <row r="83" spans="1:4">
      <c r="A83" s="19"/>
      <c r="B83" s="11"/>
      <c r="C83" s="11"/>
      <c r="D83" s="20"/>
    </row>
    <row r="84" spans="1:4">
      <c r="A84" s="19"/>
      <c r="B84" s="11"/>
      <c r="C84" s="11"/>
      <c r="D84" s="20"/>
    </row>
    <row r="85" spans="1:4">
      <c r="A85" s="19"/>
      <c r="B85" s="11"/>
      <c r="C85" s="11"/>
      <c r="D85" s="20"/>
    </row>
    <row r="86" spans="1:4">
      <c r="A86" s="19"/>
      <c r="B86" s="11"/>
      <c r="C86" s="11"/>
      <c r="D86" s="20"/>
    </row>
    <row r="87" spans="1:4">
      <c r="A87" s="19"/>
      <c r="B87" s="11"/>
      <c r="C87" s="11"/>
      <c r="D87" s="20"/>
    </row>
    <row r="88" spans="1:4">
      <c r="A88" s="19"/>
      <c r="B88" s="11"/>
      <c r="C88" s="11"/>
      <c r="D88" s="20"/>
    </row>
    <row r="89" spans="1:4">
      <c r="A89" s="19"/>
      <c r="B89" s="11"/>
      <c r="C89" s="11"/>
      <c r="D89" s="20"/>
    </row>
    <row r="90" spans="1:4">
      <c r="A90" s="19"/>
      <c r="B90" s="11"/>
      <c r="C90" s="11"/>
      <c r="D90" s="20"/>
    </row>
    <row r="91" spans="1:4">
      <c r="A91" s="19"/>
      <c r="B91" s="11"/>
      <c r="C91" s="11"/>
      <c r="D91" s="20"/>
    </row>
    <row r="92" spans="1:4">
      <c r="A92" s="19"/>
      <c r="B92" s="11"/>
      <c r="C92" s="11"/>
      <c r="D92" s="20"/>
    </row>
    <row r="93" spans="1:4">
      <c r="A93" s="19"/>
      <c r="B93" s="11"/>
      <c r="C93" s="11"/>
      <c r="D93" s="20"/>
    </row>
    <row r="94" spans="1:4">
      <c r="A94" s="19"/>
      <c r="B94" s="11"/>
      <c r="C94" s="11"/>
      <c r="D94" s="20"/>
    </row>
    <row r="95" spans="1:4">
      <c r="A95" s="19"/>
      <c r="B95" s="11"/>
      <c r="C95" s="11"/>
      <c r="D95" s="20"/>
    </row>
    <row r="96" spans="1:4">
      <c r="A96" s="19"/>
      <c r="B96" s="11"/>
      <c r="C96" s="11"/>
      <c r="D96" s="20"/>
    </row>
    <row r="97" spans="1:4">
      <c r="A97" s="19"/>
      <c r="B97" s="11"/>
      <c r="C97" s="11"/>
      <c r="D97" s="20"/>
    </row>
    <row r="98" spans="1:4">
      <c r="A98" s="19"/>
      <c r="B98" s="11"/>
      <c r="C98" s="11"/>
      <c r="D98" s="20"/>
    </row>
    <row r="99" spans="1:4">
      <c r="A99" s="19"/>
      <c r="B99" s="11"/>
      <c r="C99" s="11"/>
      <c r="D99" s="20"/>
    </row>
    <row r="100" spans="1:4">
      <c r="A100" s="19"/>
      <c r="B100" s="11"/>
      <c r="C100" s="11"/>
      <c r="D100" s="20"/>
    </row>
    <row r="101" spans="1:4">
      <c r="A101" s="19"/>
      <c r="B101" s="11"/>
      <c r="C101" s="11"/>
      <c r="D101" s="20"/>
    </row>
    <row r="102" spans="1:4">
      <c r="A102" s="19"/>
      <c r="B102" s="11"/>
      <c r="C102" s="11"/>
      <c r="D102" s="20"/>
    </row>
    <row r="103" spans="1:4">
      <c r="A103" s="19"/>
      <c r="B103" s="11"/>
      <c r="C103" s="11"/>
      <c r="D103" s="20"/>
    </row>
    <row r="104" spans="1:4">
      <c r="A104" s="19"/>
      <c r="B104" s="11"/>
      <c r="C104" s="11"/>
      <c r="D104" s="20"/>
    </row>
    <row r="105" spans="1:4">
      <c r="A105" s="19"/>
      <c r="B105" s="11"/>
      <c r="C105" s="11"/>
      <c r="D105" s="20"/>
    </row>
    <row r="106" spans="1:4">
      <c r="A106" s="19"/>
      <c r="B106" s="11"/>
      <c r="C106" s="11"/>
      <c r="D106" s="20"/>
    </row>
    <row r="107" spans="1:4">
      <c r="A107" s="19"/>
      <c r="B107" s="11"/>
      <c r="C107" s="11"/>
      <c r="D107" s="20"/>
    </row>
    <row r="108" spans="1:4">
      <c r="A108" s="19"/>
      <c r="B108" s="11"/>
      <c r="C108" s="11"/>
      <c r="D108" s="20"/>
    </row>
    <row r="109" spans="1:4">
      <c r="A109" s="19"/>
      <c r="B109" s="11"/>
      <c r="C109" s="11"/>
      <c r="D109" s="20"/>
    </row>
    <row r="110" spans="1:4">
      <c r="A110" s="19"/>
      <c r="B110" s="11"/>
      <c r="C110" s="11"/>
      <c r="D110" s="20"/>
    </row>
    <row r="111" spans="1:4">
      <c r="A111" s="19"/>
      <c r="B111" s="11"/>
      <c r="C111" s="11"/>
      <c r="D111" s="20"/>
    </row>
    <row r="112" spans="1:4">
      <c r="A112" s="19"/>
      <c r="B112" s="11"/>
      <c r="C112" s="11"/>
      <c r="D112" s="20"/>
    </row>
    <row r="113" spans="1:4">
      <c r="A113" s="19"/>
      <c r="B113" s="11"/>
      <c r="C113" s="11"/>
      <c r="D113" s="20"/>
    </row>
    <row r="114" spans="1:4">
      <c r="A114" s="19"/>
      <c r="B114" s="11"/>
      <c r="C114" s="11"/>
      <c r="D114" s="20"/>
    </row>
    <row r="115" spans="1:4">
      <c r="A115" s="19"/>
      <c r="B115" s="11"/>
      <c r="C115" s="11"/>
      <c r="D115" s="20"/>
    </row>
    <row r="116" spans="1:4">
      <c r="A116" s="19"/>
      <c r="B116" s="11"/>
      <c r="C116" s="11"/>
      <c r="D116" s="20"/>
    </row>
    <row r="117" spans="1:4">
      <c r="A117" s="19"/>
      <c r="B117" s="11"/>
      <c r="C117" s="11"/>
      <c r="D117" s="20"/>
    </row>
    <row r="118" spans="1:4">
      <c r="A118" s="19"/>
      <c r="B118" s="11"/>
      <c r="C118" s="11"/>
      <c r="D118" s="20"/>
    </row>
    <row r="119" spans="1:4">
      <c r="A119" s="19"/>
      <c r="B119" s="11"/>
      <c r="C119" s="11"/>
      <c r="D119" s="20"/>
    </row>
    <row r="120" spans="1:4">
      <c r="A120" s="19"/>
      <c r="B120" s="11"/>
      <c r="C120" s="11"/>
      <c r="D120" s="20"/>
    </row>
    <row r="121" spans="1:4">
      <c r="A121" s="19"/>
      <c r="B121" s="11"/>
      <c r="C121" s="11"/>
      <c r="D121" s="20"/>
    </row>
    <row r="122" spans="1:4">
      <c r="A122" s="19"/>
      <c r="B122" s="11"/>
      <c r="C122" s="11"/>
      <c r="D122" s="20"/>
    </row>
    <row r="123" spans="1:4">
      <c r="A123" s="19"/>
      <c r="B123" s="11"/>
      <c r="C123" s="11"/>
      <c r="D123" s="20"/>
    </row>
    <row r="124" spans="1:4">
      <c r="A124" s="19"/>
      <c r="B124" s="11"/>
      <c r="C124" s="11"/>
      <c r="D124" s="20"/>
    </row>
    <row r="125" spans="1:4">
      <c r="A125" s="19"/>
      <c r="B125" s="11"/>
      <c r="C125" s="11"/>
      <c r="D125" s="20"/>
    </row>
    <row r="126" spans="1:4">
      <c r="A126" s="19"/>
      <c r="B126" s="11"/>
      <c r="C126" s="11"/>
      <c r="D126" s="20"/>
    </row>
    <row r="127" spans="1:4">
      <c r="A127" s="19"/>
      <c r="B127" s="11"/>
      <c r="C127" s="11"/>
      <c r="D127" s="20"/>
    </row>
    <row r="128" spans="1:4">
      <c r="A128" s="19"/>
      <c r="B128" s="11"/>
      <c r="C128" s="11"/>
      <c r="D128" s="20"/>
    </row>
    <row r="129" spans="1:4">
      <c r="A129" s="19"/>
      <c r="B129" s="11"/>
      <c r="C129" s="11"/>
      <c r="D129" s="20"/>
    </row>
    <row r="130" spans="1:4">
      <c r="A130" s="19"/>
      <c r="B130" s="11"/>
      <c r="C130" s="11"/>
      <c r="D130" s="20"/>
    </row>
    <row r="131" spans="1:4">
      <c r="A131" s="19"/>
      <c r="B131" s="11"/>
      <c r="C131" s="11"/>
      <c r="D131" s="20"/>
    </row>
    <row r="132" spans="1:4">
      <c r="A132" s="19"/>
      <c r="B132" s="11"/>
      <c r="C132" s="11"/>
      <c r="D132" s="20"/>
    </row>
    <row r="133" spans="1:4">
      <c r="A133" s="19"/>
      <c r="B133" s="11"/>
      <c r="C133" s="11"/>
      <c r="D133" s="20"/>
    </row>
    <row r="134" spans="1:4">
      <c r="A134" s="19"/>
      <c r="B134" s="11"/>
      <c r="C134" s="11"/>
      <c r="D134" s="20"/>
    </row>
    <row r="135" spans="1:4">
      <c r="A135" s="19"/>
      <c r="B135" s="11"/>
      <c r="C135" s="11"/>
      <c r="D135" s="20"/>
    </row>
    <row r="136" spans="1:4">
      <c r="A136" s="19"/>
      <c r="B136" s="11"/>
      <c r="C136" s="11"/>
      <c r="D136" s="20"/>
    </row>
    <row r="137" spans="1:4">
      <c r="A137" s="19"/>
      <c r="B137" s="11"/>
      <c r="C137" s="11"/>
      <c r="D137" s="20"/>
    </row>
    <row r="138" spans="1:4">
      <c r="A138" s="19"/>
      <c r="B138" s="11"/>
      <c r="C138" s="11"/>
      <c r="D138" s="20"/>
    </row>
    <row r="139" spans="1:4">
      <c r="A139" s="19"/>
      <c r="B139" s="11"/>
      <c r="C139" s="11"/>
      <c r="D139" s="20"/>
    </row>
    <row r="140" spans="1:4">
      <c r="A140" s="19"/>
      <c r="B140" s="11"/>
      <c r="C140" s="11"/>
      <c r="D140" s="20"/>
    </row>
    <row r="141" spans="1:4">
      <c r="A141" s="19"/>
      <c r="B141" s="11"/>
      <c r="C141" s="11"/>
      <c r="D141" s="20"/>
    </row>
    <row r="142" spans="1:4">
      <c r="A142" s="19"/>
      <c r="B142" s="11"/>
      <c r="C142" s="11"/>
      <c r="D142" s="20"/>
    </row>
    <row r="143" spans="1:4">
      <c r="A143" s="19"/>
      <c r="B143" s="11"/>
      <c r="C143" s="11"/>
      <c r="D143" s="20"/>
    </row>
    <row r="144" spans="1:4">
      <c r="A144" s="19"/>
      <c r="B144" s="11"/>
      <c r="C144" s="11"/>
      <c r="D144" s="20"/>
    </row>
    <row r="145" spans="1:4">
      <c r="A145" s="19"/>
      <c r="B145" s="11"/>
      <c r="C145" s="11"/>
      <c r="D145" s="20"/>
    </row>
    <row r="146" spans="1:4">
      <c r="A146" s="19"/>
      <c r="B146" s="11"/>
      <c r="C146" s="11"/>
      <c r="D146" s="20"/>
    </row>
    <row r="147" spans="1:4">
      <c r="A147" s="19"/>
      <c r="B147" s="11"/>
      <c r="C147" s="11"/>
      <c r="D147" s="20"/>
    </row>
    <row r="148" spans="1:4">
      <c r="A148" s="19"/>
      <c r="B148" s="11"/>
      <c r="C148" s="11"/>
      <c r="D148" s="20"/>
    </row>
    <row r="149" spans="1:4">
      <c r="A149" s="19"/>
      <c r="B149" s="11"/>
      <c r="C149" s="11"/>
      <c r="D149" s="20"/>
    </row>
    <row r="150" spans="1:4">
      <c r="A150" s="19"/>
      <c r="B150" s="11"/>
      <c r="C150" s="11"/>
      <c r="D150" s="20"/>
    </row>
    <row r="151" spans="1:4">
      <c r="A151" s="19"/>
      <c r="B151" s="11"/>
      <c r="C151" s="11"/>
      <c r="D151" s="20"/>
    </row>
    <row r="152" spans="1:4">
      <c r="A152" s="19"/>
      <c r="B152" s="11"/>
      <c r="C152" s="11"/>
      <c r="D152" s="20"/>
    </row>
    <row r="153" spans="1:4">
      <c r="A153" s="19"/>
      <c r="B153" s="11"/>
      <c r="C153" s="11"/>
      <c r="D153" s="20"/>
    </row>
    <row r="154" spans="1:4">
      <c r="A154" s="19"/>
      <c r="B154" s="11"/>
      <c r="C154" s="11"/>
      <c r="D154" s="20"/>
    </row>
    <row r="155" spans="1:4">
      <c r="A155" s="19"/>
      <c r="B155" s="11"/>
      <c r="C155" s="11"/>
      <c r="D155" s="20"/>
    </row>
    <row r="156" spans="1:4">
      <c r="A156" s="19"/>
      <c r="B156" s="11"/>
      <c r="C156" s="11"/>
      <c r="D156" s="20"/>
    </row>
    <row r="157" spans="1:4">
      <c r="A157" s="19"/>
      <c r="B157" s="11"/>
      <c r="C157" s="11"/>
      <c r="D157" s="20"/>
    </row>
    <row r="158" spans="1:4">
      <c r="A158" s="19"/>
      <c r="B158" s="11"/>
      <c r="C158" s="11"/>
      <c r="D158" s="20"/>
    </row>
    <row r="159" spans="1:4">
      <c r="A159" s="19"/>
      <c r="B159" s="11"/>
      <c r="C159" s="11"/>
      <c r="D159" s="20"/>
    </row>
    <row r="160" spans="1:4">
      <c r="A160" s="19"/>
      <c r="B160" s="11"/>
      <c r="C160" s="11"/>
      <c r="D160" s="20"/>
    </row>
    <row r="161" spans="1:4">
      <c r="A161" s="19"/>
      <c r="B161" s="11"/>
      <c r="C161" s="11"/>
      <c r="D161" s="20"/>
    </row>
    <row r="162" spans="1:4">
      <c r="A162" s="19"/>
      <c r="B162" s="11"/>
      <c r="C162" s="11"/>
      <c r="D162" s="20"/>
    </row>
    <row r="163" spans="1:4">
      <c r="A163" s="19"/>
      <c r="B163" s="11"/>
      <c r="C163" s="11"/>
      <c r="D163" s="20"/>
    </row>
    <row r="164" spans="1:4">
      <c r="A164" s="19"/>
      <c r="B164" s="11"/>
      <c r="C164" s="11"/>
      <c r="D164" s="20"/>
    </row>
    <row r="165" spans="1:4">
      <c r="A165" s="19"/>
      <c r="B165" s="11"/>
      <c r="C165" s="11"/>
      <c r="D165" s="20"/>
    </row>
    <row r="166" spans="1:4">
      <c r="A166" s="19"/>
      <c r="B166" s="11"/>
      <c r="C166" s="11"/>
      <c r="D166" s="20"/>
    </row>
    <row r="167" spans="1:4">
      <c r="A167" s="19"/>
      <c r="B167" s="11"/>
      <c r="C167" s="11"/>
      <c r="D167" s="20"/>
    </row>
    <row r="168" spans="1:4">
      <c r="A168" s="19"/>
      <c r="B168" s="11"/>
      <c r="C168" s="11"/>
      <c r="D168" s="20"/>
    </row>
    <row r="169" spans="1:4">
      <c r="A169" s="19"/>
      <c r="B169" s="11"/>
      <c r="C169" s="11"/>
      <c r="D169" s="20"/>
    </row>
    <row r="170" spans="1:4">
      <c r="A170" s="19"/>
      <c r="B170" s="11"/>
      <c r="C170" s="11"/>
      <c r="D170" s="20"/>
    </row>
    <row r="171" spans="1:4">
      <c r="A171" s="19"/>
      <c r="B171" s="11"/>
      <c r="C171" s="11"/>
      <c r="D171" s="20"/>
    </row>
    <row r="172" spans="1:4">
      <c r="A172" s="19"/>
      <c r="B172" s="11"/>
      <c r="C172" s="11"/>
      <c r="D172" s="20"/>
    </row>
    <row r="173" spans="1:4">
      <c r="A173" s="19"/>
      <c r="B173" s="11"/>
      <c r="C173" s="11"/>
      <c r="D173" s="20"/>
    </row>
    <row r="174" spans="1:4">
      <c r="A174" s="19"/>
      <c r="B174" s="11"/>
      <c r="C174" s="11"/>
      <c r="D174" s="20"/>
    </row>
    <row r="175" spans="1:4">
      <c r="A175" s="19"/>
      <c r="B175" s="11"/>
      <c r="C175" s="11"/>
      <c r="D175" s="20"/>
    </row>
    <row r="176" spans="1:4">
      <c r="A176" s="19"/>
      <c r="B176" s="11"/>
      <c r="C176" s="11"/>
      <c r="D176" s="20"/>
    </row>
    <row r="177" spans="1:4">
      <c r="A177" s="19"/>
      <c r="B177" s="11"/>
      <c r="C177" s="11"/>
      <c r="D177" s="20"/>
    </row>
    <row r="178" spans="1:4">
      <c r="A178" s="19"/>
      <c r="B178" s="11"/>
      <c r="C178" s="11"/>
      <c r="D178" s="20"/>
    </row>
    <row r="179" spans="1:4">
      <c r="A179" s="19"/>
      <c r="B179" s="11"/>
      <c r="C179" s="11"/>
      <c r="D179" s="20"/>
    </row>
    <row r="180" spans="1:4">
      <c r="A180" s="19"/>
      <c r="B180" s="11"/>
      <c r="C180" s="11"/>
      <c r="D180" s="20"/>
    </row>
    <row r="181" spans="1:4">
      <c r="A181" s="19"/>
      <c r="B181" s="11"/>
      <c r="C181" s="11"/>
      <c r="D181" s="20"/>
    </row>
    <row r="182" spans="1:4">
      <c r="A182" s="19"/>
      <c r="B182" s="11"/>
      <c r="C182" s="11"/>
      <c r="D182" s="20"/>
    </row>
    <row r="183" spans="1:4">
      <c r="A183" s="19"/>
      <c r="B183" s="11"/>
      <c r="C183" s="11"/>
      <c r="D183" s="20"/>
    </row>
    <row r="184" spans="1:4">
      <c r="A184" s="19"/>
      <c r="B184" s="11"/>
      <c r="C184" s="11"/>
      <c r="D184" s="20"/>
    </row>
    <row r="185" spans="1:4">
      <c r="A185" s="19"/>
      <c r="B185" s="11"/>
      <c r="C185" s="11"/>
      <c r="D185" s="20"/>
    </row>
    <row r="186" spans="1:4">
      <c r="A186" s="19"/>
      <c r="B186" s="11"/>
      <c r="C186" s="11"/>
      <c r="D186" s="20"/>
    </row>
    <row r="187" spans="1:4">
      <c r="A187" s="19"/>
      <c r="B187" s="11"/>
      <c r="C187" s="11"/>
      <c r="D187" s="20"/>
    </row>
    <row r="188" spans="1:4">
      <c r="A188" s="19"/>
      <c r="B188" s="11"/>
      <c r="C188" s="11"/>
      <c r="D188" s="20"/>
    </row>
    <row r="189" spans="1:4">
      <c r="A189" s="19"/>
      <c r="B189" s="11"/>
      <c r="C189" s="11"/>
      <c r="D189" s="20"/>
    </row>
    <row r="190" spans="1:4">
      <c r="A190" s="19"/>
      <c r="B190" s="11"/>
      <c r="C190" s="11"/>
      <c r="D190" s="20"/>
    </row>
    <row r="191" spans="1:4">
      <c r="A191" s="19"/>
      <c r="B191" s="11"/>
      <c r="C191" s="11"/>
      <c r="D191" s="20"/>
    </row>
    <row r="192" spans="1:4">
      <c r="A192" s="19"/>
      <c r="B192" s="11"/>
      <c r="C192" s="11"/>
      <c r="D192" s="20"/>
    </row>
    <row r="193" spans="1:4">
      <c r="A193" s="19"/>
      <c r="B193" s="11"/>
      <c r="C193" s="11"/>
      <c r="D193" s="20"/>
    </row>
    <row r="194" spans="1:4">
      <c r="A194" s="19"/>
      <c r="B194" s="11"/>
      <c r="C194" s="11"/>
      <c r="D194" s="20"/>
    </row>
    <row r="195" spans="1:4">
      <c r="A195" s="19"/>
      <c r="B195" s="11"/>
      <c r="C195" s="11"/>
      <c r="D195" s="20"/>
    </row>
    <row r="196" spans="1:4">
      <c r="A196" s="19"/>
      <c r="B196" s="11"/>
      <c r="C196" s="11"/>
      <c r="D196" s="20"/>
    </row>
    <row r="197" spans="1:4">
      <c r="A197" s="19"/>
      <c r="B197" s="11"/>
      <c r="C197" s="11"/>
      <c r="D197" s="20"/>
    </row>
    <row r="198" spans="1:4">
      <c r="A198" s="19"/>
      <c r="B198" s="11"/>
      <c r="C198" s="11"/>
      <c r="D198" s="20"/>
    </row>
    <row r="199" spans="1:4">
      <c r="A199" s="19"/>
      <c r="B199" s="11"/>
      <c r="C199" s="11"/>
      <c r="D199" s="20"/>
    </row>
    <row r="200" spans="1:4">
      <c r="A200" s="19"/>
      <c r="B200" s="11"/>
      <c r="C200" s="11"/>
      <c r="D200" s="20"/>
    </row>
    <row r="201" spans="1:4">
      <c r="A201" s="19"/>
      <c r="B201" s="11"/>
      <c r="C201" s="11"/>
      <c r="D201" s="20"/>
    </row>
    <row r="202" spans="1:4">
      <c r="A202" s="19"/>
      <c r="B202" s="11"/>
      <c r="C202" s="11"/>
      <c r="D202" s="20"/>
    </row>
    <row r="203" spans="1:4">
      <c r="A203" s="19"/>
      <c r="B203" s="11"/>
      <c r="C203" s="11"/>
      <c r="D203" s="20"/>
    </row>
    <row r="204" spans="1:4">
      <c r="A204" s="19"/>
      <c r="B204" s="11"/>
      <c r="C204" s="11"/>
      <c r="D204" s="20"/>
    </row>
    <row r="205" spans="1:4">
      <c r="A205" s="19"/>
      <c r="B205" s="11"/>
      <c r="C205" s="11"/>
      <c r="D205" s="20"/>
    </row>
    <row r="206" spans="1:4">
      <c r="A206" s="19"/>
      <c r="B206" s="11"/>
      <c r="C206" s="11"/>
      <c r="D206" s="20"/>
    </row>
    <row r="207" spans="1:4">
      <c r="A207" s="19"/>
      <c r="B207" s="11"/>
      <c r="C207" s="11"/>
      <c r="D207" s="20"/>
    </row>
    <row r="208" spans="1:4">
      <c r="A208" s="19"/>
      <c r="B208" s="11"/>
      <c r="C208" s="11"/>
      <c r="D208" s="20"/>
    </row>
    <row r="209" spans="1:4">
      <c r="A209" s="19"/>
      <c r="B209" s="11"/>
      <c r="C209" s="11"/>
      <c r="D209" s="20"/>
    </row>
    <row r="210" spans="1:4">
      <c r="A210" s="19"/>
      <c r="B210" s="11"/>
      <c r="C210" s="11"/>
      <c r="D210" s="20"/>
    </row>
    <row r="211" spans="1:4">
      <c r="A211" s="19"/>
      <c r="B211" s="11"/>
      <c r="C211" s="11"/>
      <c r="D211" s="20"/>
    </row>
    <row r="212" spans="1:4">
      <c r="A212" s="19"/>
      <c r="B212" s="11"/>
      <c r="C212" s="11"/>
      <c r="D212" s="20"/>
    </row>
    <row r="213" spans="1:4">
      <c r="A213" s="19"/>
      <c r="B213" s="11"/>
      <c r="C213" s="11"/>
      <c r="D213" s="20"/>
    </row>
    <row r="214" spans="1:4">
      <c r="A214" s="19"/>
      <c r="B214" s="11"/>
      <c r="C214" s="11"/>
      <c r="D214" s="20"/>
    </row>
    <row r="215" spans="1:4">
      <c r="A215" s="19"/>
      <c r="B215" s="11"/>
      <c r="C215" s="11"/>
      <c r="D215" s="20"/>
    </row>
    <row r="216" spans="1:4">
      <c r="A216" s="19"/>
      <c r="B216" s="11"/>
      <c r="C216" s="11"/>
      <c r="D216" s="20"/>
    </row>
    <row r="217" spans="1:4">
      <c r="A217" s="19"/>
      <c r="B217" s="11"/>
      <c r="C217" s="11"/>
      <c r="D217" s="20"/>
    </row>
    <row r="218" spans="1:4">
      <c r="A218" s="19"/>
      <c r="B218" s="11"/>
      <c r="C218" s="11"/>
      <c r="D218" s="20"/>
    </row>
    <row r="219" spans="1:4">
      <c r="A219" s="19"/>
      <c r="B219" s="11"/>
      <c r="C219" s="11"/>
      <c r="D219" s="20"/>
    </row>
    <row r="220" spans="1:4">
      <c r="A220" s="19"/>
      <c r="B220" s="11"/>
      <c r="C220" s="11"/>
      <c r="D220" s="20"/>
    </row>
    <row r="221" spans="1:4">
      <c r="A221" s="19"/>
      <c r="B221" s="11"/>
      <c r="C221" s="11"/>
      <c r="D221" s="20"/>
    </row>
    <row r="222" spans="1:4">
      <c r="A222" s="19"/>
      <c r="B222" s="11"/>
      <c r="C222" s="11"/>
      <c r="D222" s="20"/>
    </row>
    <row r="223" spans="1:4">
      <c r="A223" s="19"/>
      <c r="B223" s="11"/>
      <c r="C223" s="11"/>
      <c r="D223" s="20"/>
    </row>
    <row r="224" spans="1:4">
      <c r="A224" s="19"/>
      <c r="B224" s="11"/>
      <c r="C224" s="11"/>
      <c r="D224" s="20"/>
    </row>
    <row r="225" spans="1:4">
      <c r="A225" s="19"/>
      <c r="B225" s="11"/>
      <c r="C225" s="11"/>
      <c r="D225" s="20"/>
    </row>
    <row r="226" spans="1:4">
      <c r="A226" s="19"/>
      <c r="B226" s="11"/>
      <c r="C226" s="11"/>
      <c r="D226" s="20"/>
    </row>
    <row r="227" spans="1:4">
      <c r="A227" s="19"/>
      <c r="B227" s="11"/>
      <c r="C227" s="11"/>
      <c r="D227" s="20"/>
    </row>
    <row r="228" spans="1:4">
      <c r="A228" s="19"/>
      <c r="B228" s="11"/>
      <c r="C228" s="11"/>
      <c r="D228" s="20"/>
    </row>
    <row r="229" spans="1:4">
      <c r="A229" s="19"/>
      <c r="B229" s="11"/>
      <c r="C229" s="11"/>
      <c r="D229" s="20"/>
    </row>
    <row r="230" spans="1:4">
      <c r="A230" s="19"/>
      <c r="B230" s="11"/>
      <c r="C230" s="11"/>
      <c r="D230" s="20"/>
    </row>
    <row r="231" spans="1:4">
      <c r="A231" s="19"/>
      <c r="B231" s="11"/>
      <c r="C231" s="11"/>
      <c r="D231" s="20"/>
    </row>
    <row r="232" spans="1:4">
      <c r="A232" s="19"/>
      <c r="B232" s="11"/>
      <c r="C232" s="11"/>
      <c r="D232" s="20"/>
    </row>
    <row r="233" spans="1:4">
      <c r="A233" s="19"/>
      <c r="B233" s="11"/>
      <c r="C233" s="11"/>
      <c r="D233" s="20"/>
    </row>
    <row r="234" spans="1:4">
      <c r="A234" s="19"/>
      <c r="B234" s="11"/>
      <c r="C234" s="11"/>
      <c r="D234" s="20"/>
    </row>
    <row r="235" spans="1:4">
      <c r="A235" s="19"/>
      <c r="B235" s="11"/>
      <c r="C235" s="11"/>
      <c r="D235" s="20"/>
    </row>
    <row r="236" spans="1:4">
      <c r="A236" s="19"/>
      <c r="B236" s="11"/>
      <c r="C236" s="11"/>
      <c r="D236" s="20"/>
    </row>
    <row r="237" spans="1:4">
      <c r="A237" s="19"/>
      <c r="B237" s="11"/>
      <c r="C237" s="11"/>
      <c r="D237" s="20"/>
    </row>
    <row r="238" spans="1:4">
      <c r="A238" s="19"/>
      <c r="B238" s="11"/>
      <c r="C238" s="11"/>
      <c r="D238" s="20"/>
    </row>
    <row r="239" spans="1:4">
      <c r="A239" s="19"/>
      <c r="B239" s="11"/>
      <c r="C239" s="11"/>
      <c r="D239" s="20"/>
    </row>
    <row r="240" spans="1:4">
      <c r="A240" s="19"/>
      <c r="B240" s="11"/>
      <c r="C240" s="11"/>
      <c r="D240" s="20"/>
    </row>
    <row r="241" spans="1:4">
      <c r="A241" s="19"/>
      <c r="B241" s="11"/>
      <c r="C241" s="11"/>
      <c r="D241" s="20"/>
    </row>
    <row r="242" spans="1:4">
      <c r="A242" s="19"/>
      <c r="B242" s="11"/>
      <c r="C242" s="11"/>
      <c r="D242" s="20"/>
    </row>
    <row r="243" spans="1:4">
      <c r="A243" s="19"/>
      <c r="B243" s="11"/>
      <c r="C243" s="11"/>
      <c r="D243" s="20"/>
    </row>
    <row r="244" spans="1:4">
      <c r="A244" s="19"/>
      <c r="B244" s="11"/>
      <c r="C244" s="11"/>
      <c r="D244" s="20"/>
    </row>
    <row r="245" spans="1:4">
      <c r="A245" s="19"/>
      <c r="B245" s="11"/>
      <c r="C245" s="11"/>
      <c r="D245" s="20"/>
    </row>
    <row r="246" spans="1:4">
      <c r="A246" s="19"/>
      <c r="B246" s="11"/>
      <c r="C246" s="11"/>
      <c r="D246" s="20"/>
    </row>
    <row r="247" spans="1:4">
      <c r="A247" s="19"/>
      <c r="B247" s="11"/>
      <c r="C247" s="11"/>
      <c r="D247" s="20"/>
    </row>
    <row r="248" spans="1:4">
      <c r="A248" s="19"/>
      <c r="B248" s="11"/>
      <c r="C248" s="11"/>
      <c r="D248" s="20"/>
    </row>
    <row r="249" spans="1:4">
      <c r="A249" s="19"/>
      <c r="B249" s="11"/>
      <c r="C249" s="11"/>
      <c r="D249" s="20"/>
    </row>
    <row r="250" spans="1:4">
      <c r="A250" s="19"/>
      <c r="B250" s="11"/>
      <c r="C250" s="11"/>
      <c r="D250" s="20"/>
    </row>
    <row r="251" spans="1:4">
      <c r="A251" s="19"/>
      <c r="B251" s="11"/>
      <c r="C251" s="11"/>
      <c r="D251" s="20"/>
    </row>
    <row r="252" spans="1:4">
      <c r="A252" s="19"/>
      <c r="B252" s="11"/>
      <c r="C252" s="11"/>
      <c r="D252" s="20"/>
    </row>
    <row r="253" spans="1:4">
      <c r="A253" s="19"/>
      <c r="B253" s="11"/>
      <c r="C253" s="11"/>
      <c r="D253" s="20"/>
    </row>
    <row r="254" spans="1:4">
      <c r="A254" s="19"/>
      <c r="B254" s="11"/>
      <c r="C254" s="11"/>
      <c r="D254" s="20"/>
    </row>
    <row r="255" spans="1:4">
      <c r="A255" s="19"/>
      <c r="B255" s="11"/>
      <c r="C255" s="11"/>
      <c r="D255" s="20"/>
    </row>
    <row r="256" spans="1:4">
      <c r="A256" s="19"/>
      <c r="B256" s="11"/>
      <c r="C256" s="11"/>
      <c r="D256" s="20"/>
    </row>
    <row r="257" spans="1:4">
      <c r="A257" s="19"/>
      <c r="B257" s="11"/>
      <c r="C257" s="11"/>
      <c r="D257" s="20"/>
    </row>
    <row r="258" spans="1:4">
      <c r="A258" s="19"/>
      <c r="B258" s="11"/>
      <c r="C258" s="11"/>
      <c r="D258" s="20"/>
    </row>
    <row r="259" spans="1:4">
      <c r="A259" s="19"/>
      <c r="B259" s="11"/>
      <c r="C259" s="11"/>
      <c r="D259" s="20"/>
    </row>
    <row r="260" spans="1:4">
      <c r="A260" s="19"/>
      <c r="B260" s="11"/>
      <c r="C260" s="11"/>
      <c r="D260" s="20"/>
    </row>
    <row r="261" spans="1:4">
      <c r="A261" s="19"/>
      <c r="B261" s="11"/>
      <c r="C261" s="11"/>
      <c r="D261" s="20"/>
    </row>
    <row r="262" spans="1:4">
      <c r="A262" s="19"/>
      <c r="B262" s="11"/>
      <c r="C262" s="11"/>
      <c r="D262" s="20"/>
    </row>
    <row r="263" spans="1:4">
      <c r="A263" s="19"/>
      <c r="B263" s="11"/>
      <c r="C263" s="11"/>
      <c r="D263" s="20"/>
    </row>
    <row r="264" spans="1:4">
      <c r="A264" s="19"/>
      <c r="B264" s="11"/>
      <c r="C264" s="11"/>
      <c r="D264" s="20"/>
    </row>
    <row r="265" spans="1:4">
      <c r="A265" s="19"/>
      <c r="B265" s="11"/>
      <c r="C265" s="11"/>
      <c r="D265" s="20"/>
    </row>
    <row r="266" spans="1:4">
      <c r="A266" s="19"/>
      <c r="B266" s="11"/>
      <c r="C266" s="11"/>
      <c r="D266" s="20"/>
    </row>
    <row r="267" spans="1:4">
      <c r="A267" s="19"/>
      <c r="B267" s="11"/>
      <c r="C267" s="11"/>
      <c r="D267" s="20"/>
    </row>
    <row r="268" spans="1:4">
      <c r="A268" s="19"/>
      <c r="B268" s="11"/>
      <c r="C268" s="11"/>
      <c r="D268" s="20"/>
    </row>
    <row r="269" spans="1:4">
      <c r="A269" s="19"/>
      <c r="B269" s="11"/>
      <c r="C269" s="11"/>
      <c r="D269" s="20"/>
    </row>
    <row r="270" spans="1:4">
      <c r="A270" s="19"/>
      <c r="B270" s="11"/>
      <c r="C270" s="11"/>
      <c r="D270" s="20"/>
    </row>
    <row r="271" spans="1:4">
      <c r="A271" s="19"/>
      <c r="B271" s="11"/>
      <c r="C271" s="11"/>
      <c r="D271" s="20"/>
    </row>
    <row r="272" spans="1:4">
      <c r="A272" s="19"/>
      <c r="B272" s="11"/>
      <c r="C272" s="11"/>
      <c r="D272" s="20"/>
    </row>
    <row r="273" spans="1:4">
      <c r="A273" s="19"/>
      <c r="B273" s="11"/>
      <c r="C273" s="11"/>
      <c r="D273" s="20"/>
    </row>
    <row r="274" spans="1:4">
      <c r="A274" s="19"/>
      <c r="B274" s="11"/>
      <c r="C274" s="11"/>
      <c r="D274" s="20"/>
    </row>
    <row r="275" spans="1:4">
      <c r="A275" s="19"/>
      <c r="B275" s="11"/>
      <c r="C275" s="11"/>
      <c r="D275" s="20"/>
    </row>
    <row r="276" spans="1:4">
      <c r="A276" s="19"/>
      <c r="B276" s="11"/>
      <c r="C276" s="11"/>
      <c r="D276" s="20"/>
    </row>
    <row r="277" spans="1:4">
      <c r="A277" s="19"/>
      <c r="B277" s="11"/>
      <c r="C277" s="11"/>
      <c r="D277" s="20"/>
    </row>
    <row r="278" spans="1:4">
      <c r="A278" s="19"/>
      <c r="B278" s="11"/>
      <c r="C278" s="11"/>
      <c r="D278" s="20"/>
    </row>
    <row r="279" spans="1:4">
      <c r="A279" s="19"/>
      <c r="B279" s="11"/>
      <c r="C279" s="11"/>
      <c r="D279" s="20"/>
    </row>
    <row r="280" spans="1:4">
      <c r="A280" s="19"/>
      <c r="B280" s="11"/>
      <c r="C280" s="11"/>
      <c r="D280" s="20"/>
    </row>
    <row r="281" spans="1:4">
      <c r="A281" s="19"/>
      <c r="B281" s="11"/>
      <c r="C281" s="11"/>
      <c r="D281" s="20"/>
    </row>
    <row r="282" spans="1:4">
      <c r="A282" s="19"/>
      <c r="B282" s="11"/>
      <c r="C282" s="11"/>
      <c r="D282" s="20"/>
    </row>
    <row r="283" spans="1:4">
      <c r="A283" s="19"/>
      <c r="B283" s="11"/>
      <c r="C283" s="11"/>
      <c r="D283" s="20"/>
    </row>
    <row r="284" spans="1:4">
      <c r="A284" s="19"/>
      <c r="B284" s="11"/>
      <c r="C284" s="11"/>
      <c r="D284" s="20"/>
    </row>
    <row r="285" spans="1:4">
      <c r="A285" s="19"/>
      <c r="B285" s="11"/>
      <c r="C285" s="11"/>
      <c r="D285" s="20"/>
    </row>
    <row r="286" spans="1:4">
      <c r="A286" s="19"/>
      <c r="B286" s="11"/>
      <c r="C286" s="11"/>
      <c r="D286" s="20"/>
    </row>
    <row r="287" spans="1:4">
      <c r="A287" s="19"/>
      <c r="B287" s="11"/>
      <c r="C287" s="11"/>
      <c r="D287" s="20"/>
    </row>
    <row r="288" spans="1:4">
      <c r="A288" s="19"/>
      <c r="B288" s="11"/>
      <c r="C288" s="11"/>
      <c r="D288" s="20"/>
    </row>
    <row r="289" spans="1:4">
      <c r="A289" s="19"/>
      <c r="B289" s="11"/>
      <c r="C289" s="11"/>
      <c r="D289" s="20"/>
    </row>
    <row r="290" spans="1:4">
      <c r="A290" s="19"/>
      <c r="B290" s="11"/>
      <c r="C290" s="11"/>
      <c r="D290" s="20"/>
    </row>
    <row r="291" spans="1:4">
      <c r="A291" s="19"/>
      <c r="B291" s="11"/>
      <c r="C291" s="11"/>
      <c r="D291" s="20"/>
    </row>
    <row r="292" spans="1:4">
      <c r="A292" s="19"/>
      <c r="B292" s="11"/>
      <c r="C292" s="11"/>
      <c r="D292" s="20"/>
    </row>
    <row r="293" spans="1:4">
      <c r="A293" s="19"/>
      <c r="B293" s="11"/>
      <c r="C293" s="11"/>
      <c r="D293" s="20"/>
    </row>
    <row r="294" spans="1:4">
      <c r="A294" s="19"/>
      <c r="B294" s="11"/>
      <c r="C294" s="11"/>
      <c r="D294" s="20"/>
    </row>
    <row r="295" spans="1:4">
      <c r="A295" s="19"/>
      <c r="B295" s="11"/>
      <c r="C295" s="11"/>
      <c r="D295" s="20"/>
    </row>
    <row r="296" spans="1:4">
      <c r="A296" s="19"/>
      <c r="B296" s="11"/>
      <c r="C296" s="11"/>
      <c r="D296" s="20"/>
    </row>
    <row r="297" spans="1:4">
      <c r="A297" s="19"/>
      <c r="B297" s="11"/>
      <c r="C297" s="11"/>
      <c r="D297" s="20"/>
    </row>
    <row r="298" spans="1:4">
      <c r="A298" s="19"/>
      <c r="B298" s="11"/>
      <c r="C298" s="11"/>
      <c r="D298" s="20"/>
    </row>
    <row r="299" spans="1:4">
      <c r="A299" s="19"/>
      <c r="B299" s="11"/>
      <c r="C299" s="11"/>
      <c r="D299" s="20"/>
    </row>
    <row r="300" spans="1:4">
      <c r="A300" s="19"/>
      <c r="B300" s="11"/>
      <c r="C300" s="11"/>
      <c r="D300" s="20"/>
    </row>
    <row r="301" spans="1:4">
      <c r="A301" s="19"/>
      <c r="B301" s="11"/>
      <c r="C301" s="11"/>
      <c r="D301" s="20"/>
    </row>
    <row r="302" spans="1:4">
      <c r="A302" s="19"/>
      <c r="B302" s="11"/>
      <c r="C302" s="11"/>
      <c r="D302" s="20"/>
    </row>
    <row r="303" spans="1:4">
      <c r="A303" s="19"/>
      <c r="B303" s="11"/>
      <c r="C303" s="11"/>
      <c r="D303" s="20"/>
    </row>
    <row r="304" spans="1:4">
      <c r="A304" s="19"/>
      <c r="B304" s="11"/>
      <c r="C304" s="11"/>
      <c r="D304" s="20"/>
    </row>
    <row r="305" spans="1:4">
      <c r="A305" s="19"/>
      <c r="B305" s="11"/>
      <c r="C305" s="11"/>
      <c r="D305" s="20"/>
    </row>
    <row r="306" spans="1:4">
      <c r="A306" s="19"/>
      <c r="B306" s="11"/>
      <c r="C306" s="11"/>
      <c r="D306" s="20"/>
    </row>
    <row r="307" spans="1:4">
      <c r="A307" s="19"/>
      <c r="B307" s="11"/>
      <c r="C307" s="11"/>
      <c r="D307" s="20"/>
    </row>
    <row r="308" spans="1:4">
      <c r="A308" s="19"/>
      <c r="B308" s="11"/>
      <c r="C308" s="11"/>
      <c r="D308" s="20"/>
    </row>
    <row r="309" spans="1:4">
      <c r="A309" s="19"/>
      <c r="B309" s="11"/>
      <c r="C309" s="11"/>
      <c r="D309" s="20"/>
    </row>
    <row r="310" spans="1:4">
      <c r="A310" s="19"/>
      <c r="B310" s="11"/>
      <c r="C310" s="11"/>
      <c r="D310" s="20"/>
    </row>
    <row r="311" spans="1:4">
      <c r="A311" s="19"/>
      <c r="B311" s="11"/>
      <c r="C311" s="11"/>
      <c r="D311" s="20"/>
    </row>
    <row r="312" spans="1:4">
      <c r="A312" s="19"/>
      <c r="B312" s="11"/>
      <c r="C312" s="11"/>
      <c r="D312" s="20"/>
    </row>
    <row r="313" spans="1:4">
      <c r="A313" s="19"/>
      <c r="B313" s="11"/>
      <c r="C313" s="11"/>
      <c r="D313" s="20"/>
    </row>
    <row r="314" spans="1:4">
      <c r="A314" s="19"/>
      <c r="B314" s="11"/>
      <c r="C314" s="11"/>
      <c r="D314" s="20"/>
    </row>
    <row r="315" spans="1:4">
      <c r="A315" s="19"/>
      <c r="B315" s="11"/>
      <c r="C315" s="11"/>
      <c r="D315" s="20"/>
    </row>
    <row r="316" spans="1:4">
      <c r="A316" s="19"/>
      <c r="B316" s="11"/>
      <c r="C316" s="11"/>
      <c r="D316" s="20"/>
    </row>
    <row r="317" spans="1:4">
      <c r="A317" s="19"/>
      <c r="B317" s="11"/>
      <c r="C317" s="11"/>
      <c r="D317" s="20"/>
    </row>
    <row r="318" spans="1:4">
      <c r="A318" s="19"/>
      <c r="B318" s="11"/>
      <c r="C318" s="11"/>
      <c r="D318" s="20"/>
    </row>
    <row r="319" spans="1:4">
      <c r="A319" s="19"/>
      <c r="B319" s="11"/>
      <c r="C319" s="11"/>
      <c r="D319" s="20"/>
    </row>
    <row r="320" spans="1:4">
      <c r="A320" s="19"/>
      <c r="B320" s="11"/>
      <c r="C320" s="11"/>
      <c r="D320" s="20"/>
    </row>
    <row r="321" spans="1:4">
      <c r="A321" s="19"/>
      <c r="B321" s="11"/>
      <c r="C321" s="11"/>
      <c r="D321" s="20"/>
    </row>
    <row r="322" spans="1:4">
      <c r="A322" s="19"/>
      <c r="B322" s="11"/>
      <c r="C322" s="11"/>
      <c r="D322" s="20"/>
    </row>
    <row r="323" spans="1:4">
      <c r="A323" s="19"/>
      <c r="B323" s="11"/>
      <c r="C323" s="11"/>
      <c r="D323" s="20"/>
    </row>
    <row r="324" spans="1:4">
      <c r="A324" s="19"/>
      <c r="B324" s="11"/>
      <c r="C324" s="11"/>
      <c r="D324" s="20"/>
    </row>
    <row r="325" spans="1:4">
      <c r="A325" s="19"/>
      <c r="B325" s="11"/>
      <c r="C325" s="11"/>
      <c r="D325" s="20"/>
    </row>
    <row r="326" spans="1:4">
      <c r="A326" s="19"/>
      <c r="B326" s="11"/>
      <c r="C326" s="11"/>
      <c r="D326" s="20"/>
    </row>
    <row r="327" spans="1:4">
      <c r="A327" s="19"/>
      <c r="B327" s="11"/>
      <c r="C327" s="11"/>
      <c r="D327" s="20"/>
    </row>
    <row r="328" spans="1:4">
      <c r="A328" s="19"/>
      <c r="B328" s="11"/>
      <c r="C328" s="11"/>
      <c r="D328" s="20"/>
    </row>
    <row r="329" spans="1:4">
      <c r="A329" s="19"/>
      <c r="B329" s="11"/>
      <c r="C329" s="11"/>
      <c r="D329" s="20"/>
    </row>
    <row r="330" spans="1:4">
      <c r="A330" s="19"/>
      <c r="B330" s="11"/>
      <c r="C330" s="11"/>
      <c r="D330" s="20"/>
    </row>
    <row r="331" spans="1:4">
      <c r="A331" s="19"/>
      <c r="B331" s="11"/>
      <c r="C331" s="11"/>
      <c r="D331" s="20"/>
    </row>
    <row r="332" spans="1:4">
      <c r="A332" s="19"/>
      <c r="B332" s="11"/>
      <c r="C332" s="11"/>
      <c r="D332" s="20"/>
    </row>
    <row r="333" spans="1:4">
      <c r="A333" s="19"/>
      <c r="B333" s="11"/>
      <c r="C333" s="11"/>
      <c r="D333" s="20"/>
    </row>
    <row r="334" spans="1:4">
      <c r="A334" s="19"/>
      <c r="B334" s="11"/>
      <c r="C334" s="11"/>
      <c r="D334" s="20"/>
    </row>
    <row r="335" spans="1:4">
      <c r="A335" s="19"/>
      <c r="B335" s="11"/>
      <c r="C335" s="11"/>
      <c r="D335" s="20"/>
    </row>
    <row r="336" spans="1:4">
      <c r="A336" s="19"/>
      <c r="B336" s="11"/>
      <c r="C336" s="11"/>
      <c r="D336" s="20"/>
    </row>
    <row r="337" spans="1:4">
      <c r="A337" s="19"/>
      <c r="B337" s="11"/>
      <c r="C337" s="11"/>
      <c r="D337" s="20"/>
    </row>
    <row r="338" spans="1:4">
      <c r="A338" s="19"/>
      <c r="B338" s="11"/>
      <c r="C338" s="11"/>
      <c r="D338" s="20"/>
    </row>
    <row r="339" spans="1:4">
      <c r="A339" s="19"/>
      <c r="B339" s="11"/>
      <c r="C339" s="11"/>
      <c r="D339" s="20"/>
    </row>
    <row r="340" spans="1:4">
      <c r="A340" s="19"/>
      <c r="B340" s="11"/>
      <c r="C340" s="11"/>
      <c r="D340" s="20"/>
    </row>
    <row r="341" spans="1:4">
      <c r="A341" s="19"/>
      <c r="B341" s="11"/>
      <c r="C341" s="11"/>
      <c r="D341" s="20"/>
    </row>
    <row r="342" spans="1:4">
      <c r="A342" s="19"/>
      <c r="B342" s="11"/>
      <c r="C342" s="11"/>
      <c r="D342" s="20"/>
    </row>
    <row r="343" spans="1:4">
      <c r="A343" s="19"/>
      <c r="B343" s="11"/>
      <c r="C343" s="11"/>
      <c r="D343" s="20"/>
    </row>
    <row r="344" spans="1:4">
      <c r="A344" s="19"/>
      <c r="B344" s="11"/>
      <c r="C344" s="11"/>
      <c r="D344" s="20"/>
    </row>
    <row r="345" spans="1:4">
      <c r="A345" s="19"/>
      <c r="B345" s="11"/>
      <c r="C345" s="11"/>
      <c r="D345" s="20"/>
    </row>
    <row r="346" spans="1:4">
      <c r="A346" s="19"/>
      <c r="B346" s="11"/>
      <c r="C346" s="11"/>
      <c r="D346" s="20"/>
    </row>
    <row r="347" spans="1:4">
      <c r="A347" s="19"/>
      <c r="B347" s="11"/>
      <c r="C347" s="11"/>
      <c r="D347" s="20"/>
    </row>
    <row r="348" spans="1:4">
      <c r="A348" s="19"/>
      <c r="B348" s="11"/>
      <c r="C348" s="11"/>
      <c r="D348" s="20"/>
    </row>
    <row r="349" spans="1:4">
      <c r="A349" s="19"/>
      <c r="B349" s="11"/>
      <c r="C349" s="11"/>
      <c r="D349" s="20"/>
    </row>
    <row r="350" spans="1:4">
      <c r="A350" s="19"/>
      <c r="B350" s="11"/>
      <c r="C350" s="11"/>
      <c r="D350" s="20"/>
    </row>
    <row r="351" spans="1:4">
      <c r="A351" s="19"/>
      <c r="B351" s="11"/>
      <c r="C351" s="11"/>
      <c r="D351" s="20"/>
    </row>
    <row r="352" spans="1:4">
      <c r="A352" s="19"/>
      <c r="B352" s="11"/>
      <c r="C352" s="11"/>
      <c r="D352" s="20"/>
    </row>
    <row r="353" spans="1:4">
      <c r="A353" s="19"/>
      <c r="B353" s="11"/>
      <c r="C353" s="11"/>
      <c r="D353" s="20"/>
    </row>
    <row r="354" spans="1:4">
      <c r="A354" s="19"/>
      <c r="B354" s="11"/>
      <c r="C354" s="11"/>
      <c r="D354" s="20"/>
    </row>
    <row r="355" spans="1:4">
      <c r="A355" s="19"/>
      <c r="B355" s="11"/>
      <c r="C355" s="11"/>
      <c r="D355" s="20"/>
    </row>
    <row r="356" spans="1:4">
      <c r="A356" s="19"/>
      <c r="B356" s="11"/>
      <c r="C356" s="11"/>
      <c r="D356" s="20"/>
    </row>
    <row r="357" spans="1:4">
      <c r="A357" s="19"/>
      <c r="B357" s="11"/>
      <c r="C357" s="11"/>
      <c r="D357" s="20"/>
    </row>
    <row r="358" spans="1:4">
      <c r="A358" s="19"/>
      <c r="B358" s="11"/>
      <c r="C358" s="11"/>
      <c r="D358" s="20"/>
    </row>
    <row r="359" spans="1:4">
      <c r="A359" s="19"/>
      <c r="B359" s="11"/>
      <c r="C359" s="11"/>
      <c r="D359" s="20"/>
    </row>
    <row r="360" spans="1:4">
      <c r="A360" s="19"/>
      <c r="B360" s="11"/>
      <c r="C360" s="11"/>
      <c r="D360" s="20"/>
    </row>
    <row r="361" spans="1:4">
      <c r="A361" s="19"/>
      <c r="B361" s="11"/>
      <c r="C361" s="11"/>
      <c r="D361" s="20"/>
    </row>
    <row r="362" spans="1:4">
      <c r="A362" s="19"/>
      <c r="B362" s="11"/>
      <c r="C362" s="11"/>
      <c r="D362" s="20"/>
    </row>
    <row r="363" spans="1:4">
      <c r="A363" s="19"/>
      <c r="B363" s="11"/>
      <c r="C363" s="11"/>
      <c r="D363" s="20"/>
    </row>
    <row r="364" spans="1:4">
      <c r="A364" s="19"/>
      <c r="B364" s="11"/>
      <c r="C364" s="11"/>
      <c r="D364" s="20"/>
    </row>
    <row r="365" spans="1:4">
      <c r="A365" s="19"/>
      <c r="B365" s="11"/>
      <c r="C365" s="11"/>
      <c r="D365" s="20"/>
    </row>
    <row r="366" spans="1:4">
      <c r="A366" s="19"/>
      <c r="B366" s="11"/>
      <c r="C366" s="11"/>
      <c r="D366" s="20"/>
    </row>
    <row r="367" spans="1:4">
      <c r="A367" s="19"/>
      <c r="B367" s="11"/>
      <c r="C367" s="11"/>
      <c r="D367" s="20"/>
    </row>
    <row r="368" spans="1:4">
      <c r="A368" s="19"/>
      <c r="B368" s="11"/>
      <c r="C368" s="11"/>
      <c r="D368" s="20"/>
    </row>
    <row r="369" spans="1:4">
      <c r="A369" s="19"/>
      <c r="B369" s="11"/>
      <c r="C369" s="11"/>
      <c r="D369" s="20"/>
    </row>
    <row r="370" spans="1:4">
      <c r="A370" s="19"/>
      <c r="B370" s="11"/>
      <c r="C370" s="11"/>
      <c r="D370" s="20"/>
    </row>
    <row r="371" spans="1:4">
      <c r="A371" s="19"/>
      <c r="B371" s="11"/>
      <c r="C371" s="11"/>
      <c r="D371" s="20"/>
    </row>
    <row r="372" spans="1:4">
      <c r="A372" s="19"/>
      <c r="B372" s="11"/>
      <c r="C372" s="11"/>
      <c r="D372" s="20"/>
    </row>
    <row r="373" spans="1:4">
      <c r="A373" s="19"/>
      <c r="B373" s="11"/>
      <c r="C373" s="11"/>
      <c r="D373" s="20"/>
    </row>
    <row r="374" spans="1:4">
      <c r="A374" s="19"/>
      <c r="B374" s="11"/>
      <c r="C374" s="11"/>
      <c r="D374" s="20"/>
    </row>
    <row r="375" spans="1:4">
      <c r="A375" s="19"/>
      <c r="B375" s="11"/>
      <c r="C375" s="11"/>
      <c r="D375" s="20"/>
    </row>
    <row r="376" spans="1:4">
      <c r="A376" s="19"/>
      <c r="B376" s="11"/>
      <c r="C376" s="11"/>
      <c r="D376" s="20"/>
    </row>
    <row r="377" spans="1:4">
      <c r="A377" s="19"/>
      <c r="B377" s="11"/>
      <c r="C377" s="11"/>
      <c r="D377" s="20"/>
    </row>
    <row r="378" spans="1:4">
      <c r="A378" s="19"/>
      <c r="B378" s="11"/>
      <c r="C378" s="11"/>
      <c r="D378" s="20"/>
    </row>
    <row r="379" spans="1:4">
      <c r="A379" s="19"/>
      <c r="B379" s="11"/>
      <c r="C379" s="11"/>
      <c r="D379" s="20"/>
    </row>
    <row r="380" spans="1:4">
      <c r="A380" s="19"/>
      <c r="B380" s="11"/>
      <c r="C380" s="11"/>
      <c r="D380" s="20"/>
    </row>
    <row r="381" spans="1:4">
      <c r="A381" s="19"/>
      <c r="B381" s="11"/>
      <c r="C381" s="11"/>
      <c r="D381" s="20"/>
    </row>
    <row r="382" spans="1:4">
      <c r="A382" s="19"/>
      <c r="B382" s="11"/>
      <c r="C382" s="11"/>
      <c r="D382" s="20"/>
    </row>
    <row r="383" spans="1:4">
      <c r="A383" s="19"/>
      <c r="B383" s="11"/>
      <c r="C383" s="11"/>
      <c r="D383" s="20"/>
    </row>
    <row r="384" spans="1:4">
      <c r="A384" s="19"/>
      <c r="B384" s="11"/>
      <c r="C384" s="11"/>
      <c r="D384" s="20"/>
    </row>
    <row r="385" spans="1:4">
      <c r="A385" s="19"/>
      <c r="B385" s="11"/>
      <c r="C385" s="11"/>
      <c r="D385" s="20"/>
    </row>
    <row r="386" spans="1:4">
      <c r="A386" s="19"/>
      <c r="B386" s="11"/>
      <c r="C386" s="11"/>
      <c r="D386" s="20"/>
    </row>
    <row r="387" spans="1:4">
      <c r="A387" s="19"/>
      <c r="B387" s="11"/>
      <c r="C387" s="11"/>
      <c r="D387" s="20"/>
    </row>
    <row r="388" spans="1:4">
      <c r="A388" s="19"/>
      <c r="B388" s="11"/>
      <c r="C388" s="11"/>
      <c r="D388" s="20"/>
    </row>
    <row r="389" spans="1:4">
      <c r="A389" s="19"/>
      <c r="B389" s="11"/>
      <c r="C389" s="11"/>
      <c r="D389" s="20"/>
    </row>
    <row r="390" spans="1:4">
      <c r="A390" s="19"/>
      <c r="B390" s="11"/>
      <c r="C390" s="11"/>
      <c r="D390" s="20"/>
    </row>
    <row r="391" spans="1:4">
      <c r="A391" s="19"/>
      <c r="B391" s="11"/>
      <c r="C391" s="11"/>
      <c r="D391" s="20"/>
    </row>
    <row r="392" spans="1:4">
      <c r="A392" s="19"/>
      <c r="B392" s="11"/>
      <c r="C392" s="11"/>
      <c r="D392" s="20"/>
    </row>
    <row r="393" spans="1:4">
      <c r="A393" s="19"/>
      <c r="B393" s="11"/>
      <c r="C393" s="11"/>
      <c r="D393" s="20"/>
    </row>
    <row r="394" spans="1:4">
      <c r="A394" s="19"/>
      <c r="B394" s="11"/>
      <c r="C394" s="11"/>
      <c r="D394" s="20"/>
    </row>
    <row r="395" spans="1:4">
      <c r="A395" s="19"/>
      <c r="B395" s="11"/>
      <c r="C395" s="11"/>
      <c r="D395" s="20"/>
    </row>
    <row r="396" spans="1:4">
      <c r="A396" s="19"/>
      <c r="B396" s="11"/>
      <c r="C396" s="11"/>
      <c r="D396" s="20"/>
    </row>
    <row r="397" spans="1:4">
      <c r="A397" s="19"/>
      <c r="B397" s="11"/>
      <c r="C397" s="11"/>
      <c r="D397" s="20"/>
    </row>
    <row r="398" spans="1:4">
      <c r="A398" s="19"/>
      <c r="B398" s="11"/>
      <c r="C398" s="11"/>
      <c r="D398" s="20"/>
    </row>
    <row r="399" spans="1:4">
      <c r="A399" s="19"/>
      <c r="B399" s="11"/>
      <c r="C399" s="11"/>
      <c r="D399" s="20"/>
    </row>
    <row r="400" spans="1:4">
      <c r="A400" s="19"/>
      <c r="B400" s="11"/>
      <c r="C400" s="11"/>
      <c r="D400" s="20"/>
    </row>
    <row r="401" spans="1:4">
      <c r="A401" s="19"/>
      <c r="B401" s="11"/>
      <c r="C401" s="11"/>
      <c r="D401" s="20"/>
    </row>
    <row r="402" spans="1:4">
      <c r="A402" s="19"/>
      <c r="B402" s="11"/>
      <c r="C402" s="11"/>
      <c r="D402" s="20"/>
    </row>
    <row r="403" spans="1:4">
      <c r="A403" s="19"/>
      <c r="B403" s="11"/>
      <c r="C403" s="11"/>
      <c r="D403" s="20"/>
    </row>
    <row r="404" spans="1:4">
      <c r="A404" s="19"/>
      <c r="B404" s="11"/>
      <c r="C404" s="11"/>
      <c r="D404" s="20"/>
    </row>
    <row r="405" spans="1:4">
      <c r="A405" s="19"/>
      <c r="B405" s="11"/>
      <c r="C405" s="11"/>
      <c r="D405" s="20"/>
    </row>
    <row r="406" spans="1:4">
      <c r="A406" s="19"/>
      <c r="B406" s="11"/>
      <c r="C406" s="11"/>
      <c r="D406" s="20"/>
    </row>
    <row r="407" spans="1:4">
      <c r="A407" s="19"/>
      <c r="B407" s="11"/>
      <c r="C407" s="11"/>
      <c r="D407" s="20"/>
    </row>
    <row r="408" spans="1:4">
      <c r="A408" s="19"/>
      <c r="B408" s="11"/>
      <c r="C408" s="11"/>
      <c r="D408" s="20"/>
    </row>
    <row r="409" spans="1:4">
      <c r="A409" s="19"/>
      <c r="B409" s="11"/>
      <c r="C409" s="11"/>
      <c r="D409" s="20"/>
    </row>
    <row r="410" spans="1:4">
      <c r="A410" s="19"/>
      <c r="B410" s="11"/>
      <c r="C410" s="11"/>
      <c r="D410" s="20"/>
    </row>
    <row r="411" spans="1:4">
      <c r="A411" s="19"/>
      <c r="B411" s="11"/>
      <c r="C411" s="11"/>
      <c r="D411" s="20"/>
    </row>
    <row r="412" spans="1:4">
      <c r="A412" s="19"/>
      <c r="B412" s="11"/>
      <c r="C412" s="11"/>
      <c r="D412" s="20"/>
    </row>
    <row r="413" spans="1:4">
      <c r="A413" s="19"/>
      <c r="B413" s="11"/>
      <c r="C413" s="11"/>
      <c r="D413" s="20"/>
    </row>
    <row r="414" spans="1:4">
      <c r="A414" s="19"/>
      <c r="B414" s="11"/>
      <c r="C414" s="11"/>
      <c r="D414" s="20"/>
    </row>
    <row r="415" spans="1:4">
      <c r="A415" s="19"/>
      <c r="B415" s="11"/>
      <c r="C415" s="11"/>
      <c r="D415" s="20"/>
    </row>
    <row r="416" spans="1:4">
      <c r="A416" s="19"/>
      <c r="B416" s="11"/>
      <c r="C416" s="11"/>
      <c r="D416" s="20"/>
    </row>
    <row r="417" spans="1:4">
      <c r="A417" s="19"/>
      <c r="B417" s="11"/>
      <c r="C417" s="11"/>
      <c r="D417" s="20"/>
    </row>
    <row r="418" spans="1:4">
      <c r="A418" s="19"/>
      <c r="B418" s="11"/>
      <c r="C418" s="11"/>
      <c r="D418" s="20"/>
    </row>
    <row r="419" spans="1:4">
      <c r="A419" s="19"/>
      <c r="B419" s="11"/>
      <c r="C419" s="11"/>
      <c r="D419" s="20"/>
    </row>
    <row r="420" spans="1:4">
      <c r="A420" s="19"/>
      <c r="B420" s="11"/>
      <c r="C420" s="11"/>
      <c r="D420" s="20"/>
    </row>
    <row r="421" spans="1:4">
      <c r="A421" s="19"/>
      <c r="B421" s="11"/>
      <c r="C421" s="11"/>
      <c r="D421" s="20"/>
    </row>
    <row r="422" spans="1:4">
      <c r="A422" s="19"/>
      <c r="B422" s="11"/>
      <c r="C422" s="11"/>
      <c r="D422" s="20"/>
    </row>
    <row r="423" spans="1:4">
      <c r="A423" s="19"/>
      <c r="B423" s="11"/>
      <c r="C423" s="11"/>
      <c r="D423" s="20"/>
    </row>
    <row r="424" spans="1:4">
      <c r="A424" s="19"/>
      <c r="B424" s="11"/>
      <c r="C424" s="11"/>
      <c r="D424" s="20"/>
    </row>
    <row r="425" spans="1:4">
      <c r="A425" s="19"/>
      <c r="B425" s="11"/>
      <c r="C425" s="11"/>
      <c r="D425" s="20"/>
    </row>
    <row r="426" spans="1:4">
      <c r="A426" s="19"/>
      <c r="B426" s="11"/>
      <c r="C426" s="11"/>
      <c r="D426" s="20"/>
    </row>
    <row r="427" spans="1:4">
      <c r="A427" s="19"/>
      <c r="B427" s="11"/>
      <c r="C427" s="11"/>
      <c r="D427" s="20"/>
    </row>
    <row r="428" spans="1:4">
      <c r="A428" s="19"/>
      <c r="B428" s="11"/>
      <c r="C428" s="11"/>
      <c r="D428" s="20"/>
    </row>
    <row r="429" spans="1:4">
      <c r="A429" s="19"/>
      <c r="B429" s="11"/>
      <c r="C429" s="11"/>
      <c r="D429" s="20"/>
    </row>
    <row r="430" spans="1:4">
      <c r="A430" s="19"/>
      <c r="B430" s="11"/>
      <c r="C430" s="11"/>
      <c r="D430" s="20"/>
    </row>
    <row r="431" spans="1:4">
      <c r="A431" s="19"/>
      <c r="B431" s="11"/>
      <c r="C431" s="11"/>
      <c r="D431" s="20"/>
    </row>
    <row r="432" spans="1:4">
      <c r="A432" s="19"/>
      <c r="B432" s="11"/>
      <c r="C432" s="11"/>
      <c r="D432" s="20"/>
    </row>
    <row r="433" spans="1:4">
      <c r="A433" s="19"/>
      <c r="B433" s="11"/>
      <c r="C433" s="11"/>
      <c r="D433" s="20"/>
    </row>
    <row r="434" spans="1:4">
      <c r="A434" s="19"/>
      <c r="B434" s="11"/>
      <c r="C434" s="11"/>
      <c r="D434" s="20"/>
    </row>
    <row r="435" spans="1:4">
      <c r="A435" s="19"/>
      <c r="B435" s="11"/>
      <c r="C435" s="11"/>
      <c r="D435" s="20"/>
    </row>
    <row r="436" spans="1:4">
      <c r="A436" s="19"/>
      <c r="B436" s="11"/>
      <c r="C436" s="11"/>
      <c r="D436" s="20"/>
    </row>
    <row r="437" spans="1:4">
      <c r="A437" s="19"/>
      <c r="B437" s="11"/>
      <c r="C437" s="11"/>
      <c r="D437" s="20"/>
    </row>
    <row r="438" spans="1:4">
      <c r="A438" s="19"/>
      <c r="B438" s="11"/>
      <c r="C438" s="11"/>
      <c r="D438" s="20"/>
    </row>
    <row r="439" spans="1:4">
      <c r="A439" s="19"/>
      <c r="B439" s="11"/>
      <c r="C439" s="11"/>
      <c r="D439" s="20"/>
    </row>
    <row r="440" spans="1:4">
      <c r="A440" s="19"/>
      <c r="B440" s="11"/>
      <c r="C440" s="11"/>
      <c r="D440" s="20"/>
    </row>
    <row r="441" spans="1:4">
      <c r="A441" s="19"/>
      <c r="B441" s="11"/>
      <c r="C441" s="11"/>
      <c r="D441" s="20"/>
    </row>
    <row r="442" spans="1:4">
      <c r="A442" s="19"/>
      <c r="B442" s="11"/>
      <c r="C442" s="11"/>
      <c r="D442" s="20"/>
    </row>
    <row r="443" spans="1:4">
      <c r="A443" s="19"/>
      <c r="B443" s="11"/>
      <c r="C443" s="11"/>
      <c r="D443" s="20"/>
    </row>
    <row r="444" spans="1:4">
      <c r="A444" s="19"/>
      <c r="B444" s="11"/>
      <c r="C444" s="11"/>
      <c r="D444" s="20"/>
    </row>
    <row r="445" spans="1:4">
      <c r="A445" s="19"/>
      <c r="B445" s="11"/>
      <c r="C445" s="11"/>
      <c r="D445" s="20"/>
    </row>
    <row r="446" spans="1:4">
      <c r="A446" s="19"/>
      <c r="B446" s="11"/>
      <c r="C446" s="11"/>
      <c r="D446" s="20"/>
    </row>
    <row r="447" spans="1:4">
      <c r="A447" s="19"/>
      <c r="B447" s="11"/>
      <c r="C447" s="11"/>
      <c r="D447" s="20"/>
    </row>
    <row r="448" spans="1:4">
      <c r="A448" s="19"/>
      <c r="B448" s="11"/>
      <c r="C448" s="11"/>
      <c r="D448" s="20"/>
    </row>
    <row r="449" spans="1:4">
      <c r="A449" s="19"/>
      <c r="B449" s="11"/>
      <c r="C449" s="11"/>
      <c r="D449" s="20"/>
    </row>
    <row r="450" spans="1:4">
      <c r="A450" s="19"/>
      <c r="B450" s="11"/>
      <c r="C450" s="11"/>
      <c r="D450" s="20"/>
    </row>
    <row r="451" spans="1:4">
      <c r="A451" s="19"/>
      <c r="B451" s="11"/>
      <c r="C451" s="11"/>
      <c r="D451" s="20"/>
    </row>
    <row r="452" spans="1:4">
      <c r="A452" s="19"/>
      <c r="B452" s="11"/>
      <c r="C452" s="11"/>
      <c r="D452" s="20"/>
    </row>
    <row r="453" spans="1:4">
      <c r="A453" s="19"/>
      <c r="B453" s="11"/>
      <c r="C453" s="11"/>
      <c r="D453" s="20"/>
    </row>
    <row r="454" spans="1:4">
      <c r="A454" s="19"/>
      <c r="B454" s="11"/>
      <c r="C454" s="11"/>
      <c r="D454" s="20"/>
    </row>
    <row r="455" spans="1:4">
      <c r="A455" s="19"/>
      <c r="B455" s="11"/>
      <c r="C455" s="11"/>
      <c r="D455" s="20"/>
    </row>
    <row r="456" spans="1:4">
      <c r="A456" s="19"/>
      <c r="B456" s="11"/>
      <c r="C456" s="11"/>
      <c r="D456" s="20"/>
    </row>
    <row r="457" spans="1:4">
      <c r="A457" s="19"/>
      <c r="B457" s="11"/>
      <c r="C457" s="11"/>
      <c r="D457" s="20"/>
    </row>
    <row r="458" spans="1:4">
      <c r="A458" s="19"/>
      <c r="B458" s="11"/>
      <c r="C458" s="11"/>
      <c r="D458" s="20"/>
    </row>
    <row r="459" spans="1:4">
      <c r="A459" s="19"/>
      <c r="B459" s="11"/>
      <c r="C459" s="11"/>
      <c r="D459" s="20"/>
    </row>
    <row r="460" spans="1:4">
      <c r="A460" s="19"/>
      <c r="B460" s="11"/>
      <c r="C460" s="11"/>
      <c r="D460" s="20"/>
    </row>
    <row r="461" spans="1:4">
      <c r="A461" s="19"/>
      <c r="B461" s="11"/>
      <c r="C461" s="11"/>
      <c r="D461" s="20"/>
    </row>
    <row r="462" spans="1:4">
      <c r="A462" s="19"/>
      <c r="B462" s="11"/>
      <c r="C462" s="11"/>
      <c r="D462" s="20"/>
    </row>
    <row r="463" spans="1:4">
      <c r="A463" s="19"/>
      <c r="B463" s="11"/>
      <c r="C463" s="11"/>
      <c r="D463" s="20"/>
    </row>
    <row r="464" spans="1:4">
      <c r="A464" s="19"/>
      <c r="B464" s="11"/>
      <c r="C464" s="11"/>
      <c r="D464" s="20"/>
    </row>
    <row r="465" spans="1:4">
      <c r="A465" s="19"/>
      <c r="B465" s="11"/>
      <c r="C465" s="11"/>
      <c r="D465" s="20"/>
    </row>
    <row r="466" spans="1:4">
      <c r="A466" s="19"/>
      <c r="B466" s="11"/>
      <c r="C466" s="11"/>
      <c r="D466" s="20"/>
    </row>
    <row r="467" spans="1:4">
      <c r="A467" s="19"/>
      <c r="B467" s="11"/>
      <c r="C467" s="11"/>
      <c r="D467" s="20"/>
    </row>
    <row r="468" spans="1:4">
      <c r="A468" s="19"/>
      <c r="B468" s="11"/>
      <c r="C468" s="11"/>
      <c r="D468" s="20"/>
    </row>
    <row r="469" spans="1:4">
      <c r="A469" s="19"/>
      <c r="B469" s="11"/>
      <c r="C469" s="11"/>
      <c r="D469" s="20"/>
    </row>
    <row r="470" spans="1:4">
      <c r="A470" s="19"/>
      <c r="B470" s="11"/>
      <c r="C470" s="11"/>
      <c r="D470" s="20"/>
    </row>
    <row r="471" spans="1:4">
      <c r="A471" s="19"/>
      <c r="B471" s="11"/>
      <c r="C471" s="11"/>
      <c r="D471" s="20"/>
    </row>
    <row r="472" spans="1:4">
      <c r="A472" s="19"/>
      <c r="B472" s="11"/>
      <c r="C472" s="11"/>
      <c r="D472" s="20"/>
    </row>
    <row r="473" spans="1:4">
      <c r="A473" s="19"/>
      <c r="B473" s="11"/>
      <c r="C473" s="11"/>
      <c r="D473" s="20"/>
    </row>
    <row r="474" spans="1:4">
      <c r="A474" s="19"/>
      <c r="B474" s="11"/>
      <c r="C474" s="11"/>
      <c r="D474" s="20"/>
    </row>
    <row r="475" spans="1:4">
      <c r="A475" s="19"/>
      <c r="B475" s="11"/>
      <c r="C475" s="11"/>
      <c r="D475" s="20"/>
    </row>
    <row r="476" spans="1:4">
      <c r="A476" s="19"/>
      <c r="B476" s="11"/>
      <c r="C476" s="11"/>
      <c r="D476" s="20"/>
    </row>
    <row r="477" spans="1:4">
      <c r="A477" s="19"/>
      <c r="B477" s="11"/>
      <c r="C477" s="11"/>
      <c r="D477" s="20"/>
    </row>
    <row r="478" spans="1:4">
      <c r="A478" s="19"/>
      <c r="B478" s="11"/>
      <c r="C478" s="11"/>
      <c r="D478" s="20"/>
    </row>
    <row r="479" spans="1:4">
      <c r="A479" s="19"/>
      <c r="B479" s="11"/>
      <c r="C479" s="11"/>
      <c r="D479" s="20"/>
    </row>
    <row r="480" spans="1:4">
      <c r="A480" s="19"/>
      <c r="B480" s="11"/>
      <c r="C480" s="11"/>
      <c r="D480" s="20"/>
    </row>
    <row r="481" spans="1:4">
      <c r="A481" s="19"/>
      <c r="B481" s="11"/>
      <c r="C481" s="11"/>
      <c r="D481" s="20"/>
    </row>
    <row r="482" spans="1:4">
      <c r="A482" s="19"/>
      <c r="B482" s="11"/>
      <c r="C482" s="11"/>
      <c r="D482" s="20"/>
    </row>
    <row r="483" spans="1:4">
      <c r="A483" s="19"/>
      <c r="B483" s="11"/>
      <c r="C483" s="11"/>
      <c r="D483" s="20"/>
    </row>
    <row r="484" spans="1:4">
      <c r="A484" s="19"/>
      <c r="B484" s="11"/>
      <c r="C484" s="11"/>
      <c r="D484" s="20"/>
    </row>
    <row r="485" spans="1:4">
      <c r="A485" s="19"/>
      <c r="B485" s="11"/>
      <c r="C485" s="11"/>
      <c r="D485" s="20"/>
    </row>
    <row r="486" spans="1:4">
      <c r="A486" s="19"/>
      <c r="B486" s="11"/>
      <c r="C486" s="11"/>
      <c r="D486" s="20"/>
    </row>
    <row r="487" spans="1:4">
      <c r="A487" s="19"/>
      <c r="B487" s="11"/>
      <c r="C487" s="11"/>
      <c r="D487" s="20"/>
    </row>
    <row r="488" spans="1:4">
      <c r="A488" s="19"/>
      <c r="B488" s="11"/>
      <c r="C488" s="11"/>
      <c r="D488" s="20"/>
    </row>
    <row r="489" spans="1:4">
      <c r="A489" s="19"/>
      <c r="B489" s="11"/>
      <c r="C489" s="11"/>
      <c r="D489" s="20"/>
    </row>
    <row r="490" spans="1:4">
      <c r="A490" s="19"/>
      <c r="B490" s="11"/>
      <c r="C490" s="11"/>
      <c r="D490" s="20"/>
    </row>
    <row r="491" spans="1:4">
      <c r="A491" s="19"/>
      <c r="B491" s="11"/>
      <c r="C491" s="11"/>
      <c r="D491" s="20"/>
    </row>
    <row r="492" spans="1:4">
      <c r="A492" s="19"/>
      <c r="B492" s="11"/>
      <c r="C492" s="11"/>
      <c r="D492" s="20"/>
    </row>
    <row r="493" spans="1:4">
      <c r="A493" s="19"/>
      <c r="B493" s="11"/>
      <c r="C493" s="11"/>
      <c r="D493" s="20"/>
    </row>
    <row r="494" spans="1:4">
      <c r="A494" s="19"/>
      <c r="B494" s="11"/>
      <c r="C494" s="11"/>
      <c r="D494" s="20"/>
    </row>
    <row r="495" spans="1:4">
      <c r="A495" s="19"/>
      <c r="B495" s="11"/>
      <c r="C495" s="11"/>
      <c r="D495" s="20"/>
    </row>
    <row r="496" spans="1:4">
      <c r="A496" s="19"/>
      <c r="B496" s="11"/>
      <c r="C496" s="11"/>
      <c r="D496" s="20"/>
    </row>
    <row r="497" spans="1:4">
      <c r="A497" s="19"/>
      <c r="B497" s="11"/>
      <c r="C497" s="11"/>
      <c r="D497" s="20"/>
    </row>
    <row r="498" spans="1:4">
      <c r="A498" s="19"/>
      <c r="B498" s="11"/>
      <c r="C498" s="11"/>
      <c r="D498" s="20"/>
    </row>
    <row r="499" spans="1:4">
      <c r="A499" s="19"/>
      <c r="B499" s="11"/>
      <c r="C499" s="11"/>
      <c r="D499" s="20"/>
    </row>
    <row r="500" spans="1:4">
      <c r="A500" s="19"/>
      <c r="B500" s="11"/>
      <c r="C500" s="11"/>
      <c r="D500" s="20"/>
    </row>
    <row r="501" spans="1:4">
      <c r="A501" s="19"/>
      <c r="B501" s="11"/>
      <c r="C501" s="11"/>
      <c r="D501" s="20"/>
    </row>
    <row r="502" spans="1:4">
      <c r="A502" s="19"/>
      <c r="B502" s="11"/>
      <c r="C502" s="11"/>
      <c r="D502" s="20"/>
    </row>
    <row r="503" spans="1:4">
      <c r="A503" s="19"/>
      <c r="B503" s="11"/>
      <c r="C503" s="11"/>
      <c r="D503" s="20"/>
    </row>
    <row r="504" spans="1:4">
      <c r="A504" s="19"/>
      <c r="B504" s="11"/>
      <c r="C504" s="11"/>
      <c r="D504" s="20"/>
    </row>
    <row r="505" spans="1:4">
      <c r="A505" s="19"/>
      <c r="B505" s="11"/>
      <c r="C505" s="11"/>
      <c r="D505" s="20"/>
    </row>
    <row r="506" spans="1:4">
      <c r="A506" s="19"/>
      <c r="B506" s="11"/>
      <c r="C506" s="11"/>
      <c r="D506" s="20"/>
    </row>
    <row r="507" spans="1:4">
      <c r="A507" s="19"/>
      <c r="B507" s="11"/>
      <c r="C507" s="11"/>
      <c r="D507" s="20"/>
    </row>
    <row r="508" spans="1:4">
      <c r="A508" s="19"/>
      <c r="B508" s="11"/>
      <c r="C508" s="11"/>
      <c r="D508" s="20"/>
    </row>
    <row r="509" spans="1:4">
      <c r="A509" s="19"/>
      <c r="B509" s="11"/>
      <c r="C509" s="11"/>
      <c r="D509" s="20"/>
    </row>
    <row r="510" spans="1:4">
      <c r="A510" s="19"/>
      <c r="B510" s="11"/>
      <c r="C510" s="11"/>
      <c r="D510" s="20"/>
    </row>
    <row r="511" spans="1:4">
      <c r="A511" s="19"/>
      <c r="B511" s="11"/>
      <c r="C511" s="11"/>
      <c r="D511" s="20"/>
    </row>
    <row r="512" spans="1:4">
      <c r="A512" s="19"/>
      <c r="B512" s="11"/>
      <c r="C512" s="11"/>
      <c r="D512" s="20"/>
    </row>
    <row r="513" spans="1:4">
      <c r="A513" s="19"/>
      <c r="B513" s="11"/>
      <c r="C513" s="11"/>
      <c r="D513" s="20"/>
    </row>
    <row r="514" spans="1:4">
      <c r="A514" s="19"/>
      <c r="B514" s="11"/>
      <c r="C514" s="11"/>
      <c r="D514" s="20"/>
    </row>
    <row r="515" spans="1:4">
      <c r="A515" s="19"/>
      <c r="B515" s="11"/>
      <c r="C515" s="11"/>
      <c r="D515" s="20"/>
    </row>
    <row r="516" spans="1:4">
      <c r="A516" s="19"/>
      <c r="B516" s="11"/>
      <c r="C516" s="11"/>
      <c r="D516" s="20"/>
    </row>
    <row r="517" spans="1:4">
      <c r="A517" s="19"/>
      <c r="B517" s="11"/>
      <c r="C517" s="11"/>
      <c r="D517" s="20"/>
    </row>
    <row r="518" spans="1:4">
      <c r="A518" s="19"/>
      <c r="B518" s="11"/>
      <c r="C518" s="11"/>
      <c r="D518" s="20"/>
    </row>
    <row r="519" spans="1:4">
      <c r="A519" s="19"/>
      <c r="B519" s="11"/>
      <c r="C519" s="11"/>
      <c r="D519" s="20"/>
    </row>
    <row r="520" spans="1:4">
      <c r="A520" s="19"/>
      <c r="B520" s="11"/>
      <c r="C520" s="11"/>
      <c r="D520" s="20"/>
    </row>
    <row r="521" spans="1:4">
      <c r="A521" s="19"/>
      <c r="B521" s="11"/>
      <c r="C521" s="11"/>
      <c r="D521" s="20"/>
    </row>
    <row r="522" spans="1:4">
      <c r="A522" s="19"/>
      <c r="B522" s="11"/>
      <c r="C522" s="11"/>
      <c r="D522" s="20"/>
    </row>
    <row r="523" spans="1:4">
      <c r="A523" s="19"/>
      <c r="B523" s="11"/>
      <c r="C523" s="11"/>
      <c r="D523" s="20"/>
    </row>
    <row r="524" spans="1:4">
      <c r="A524" s="19"/>
      <c r="B524" s="11"/>
      <c r="C524" s="11"/>
      <c r="D524" s="20"/>
    </row>
    <row r="525" spans="1:4">
      <c r="A525" s="19"/>
      <c r="B525" s="11"/>
      <c r="C525" s="11"/>
      <c r="D525" s="20"/>
    </row>
    <row r="526" spans="1:4">
      <c r="A526" s="19"/>
      <c r="B526" s="11"/>
      <c r="C526" s="11"/>
      <c r="D526" s="20"/>
    </row>
    <row r="527" spans="1:4">
      <c r="A527" s="19"/>
      <c r="B527" s="11"/>
      <c r="C527" s="11"/>
      <c r="D527" s="20"/>
    </row>
    <row r="528" spans="1:4">
      <c r="A528" s="19"/>
      <c r="B528" s="11"/>
      <c r="C528" s="11"/>
      <c r="D528" s="20"/>
    </row>
    <row r="529" spans="1:4">
      <c r="A529" s="19"/>
      <c r="B529" s="11"/>
      <c r="C529" s="11"/>
      <c r="D529" s="20"/>
    </row>
    <row r="530" spans="1:4">
      <c r="A530" s="19"/>
      <c r="B530" s="11"/>
      <c r="C530" s="11"/>
      <c r="D530" s="20"/>
    </row>
    <row r="531" spans="1:4">
      <c r="A531" s="19"/>
      <c r="B531" s="11"/>
      <c r="C531" s="11"/>
      <c r="D531" s="20"/>
    </row>
    <row r="532" spans="1:4">
      <c r="A532" s="19"/>
      <c r="B532" s="11"/>
      <c r="C532" s="11"/>
      <c r="D532" s="20"/>
    </row>
    <row r="533" spans="1:4">
      <c r="A533" s="19"/>
      <c r="B533" s="11"/>
      <c r="C533" s="11"/>
      <c r="D533" s="20"/>
    </row>
    <row r="534" spans="1:4">
      <c r="A534" s="19"/>
      <c r="B534" s="11"/>
      <c r="C534" s="11"/>
      <c r="D534" s="20"/>
    </row>
    <row r="535" spans="1:4">
      <c r="A535" s="19"/>
      <c r="B535" s="11"/>
      <c r="C535" s="11"/>
      <c r="D535" s="20"/>
    </row>
    <row r="536" spans="1:4">
      <c r="A536" s="19"/>
      <c r="B536" s="11"/>
      <c r="C536" s="11"/>
      <c r="D536" s="20"/>
    </row>
    <row r="537" spans="1:4">
      <c r="A537" s="19"/>
      <c r="B537" s="11"/>
      <c r="C537" s="11"/>
      <c r="D537" s="20"/>
    </row>
    <row r="538" spans="1:4">
      <c r="A538" s="19"/>
      <c r="B538" s="11"/>
      <c r="C538" s="11"/>
      <c r="D538" s="20"/>
    </row>
    <row r="539" spans="1:4">
      <c r="A539" s="19"/>
      <c r="B539" s="11"/>
      <c r="C539" s="11"/>
      <c r="D539" s="20"/>
    </row>
    <row r="540" spans="1:4">
      <c r="A540" s="19"/>
      <c r="B540" s="11"/>
      <c r="C540" s="11"/>
      <c r="D540" s="20"/>
    </row>
    <row r="541" spans="1:4">
      <c r="A541" s="19"/>
      <c r="B541" s="11"/>
      <c r="C541" s="11"/>
      <c r="D541" s="20"/>
    </row>
    <row r="542" spans="1:4">
      <c r="A542" s="19"/>
      <c r="B542" s="11"/>
      <c r="C542" s="11"/>
      <c r="D542" s="20"/>
    </row>
    <row r="543" spans="1:4">
      <c r="A543" s="19"/>
      <c r="B543" s="11"/>
      <c r="C543" s="11"/>
      <c r="D543" s="20"/>
    </row>
    <row r="544" spans="1:4">
      <c r="A544" s="19"/>
      <c r="B544" s="11"/>
      <c r="C544" s="11"/>
      <c r="D544" s="20"/>
    </row>
    <row r="545" spans="1:4">
      <c r="A545" s="19"/>
      <c r="B545" s="11"/>
      <c r="C545" s="11"/>
      <c r="D545" s="20"/>
    </row>
    <row r="546" spans="1:4">
      <c r="A546" s="19"/>
      <c r="B546" s="11"/>
      <c r="C546" s="11"/>
      <c r="D546" s="20"/>
    </row>
    <row r="547" spans="1:4">
      <c r="A547" s="19"/>
      <c r="B547" s="11"/>
      <c r="C547" s="11"/>
      <c r="D547" s="20"/>
    </row>
    <row r="548" spans="1:4">
      <c r="A548" s="19"/>
      <c r="B548" s="11"/>
      <c r="C548" s="11"/>
      <c r="D548" s="20"/>
    </row>
    <row r="549" spans="1:4">
      <c r="A549" s="19"/>
      <c r="B549" s="11"/>
      <c r="C549" s="11"/>
      <c r="D549" s="20"/>
    </row>
    <row r="550" spans="1:4">
      <c r="A550" s="19"/>
      <c r="B550" s="11"/>
      <c r="C550" s="11"/>
      <c r="D550" s="20"/>
    </row>
    <row r="551" spans="1:4">
      <c r="A551" s="19"/>
      <c r="B551" s="11"/>
      <c r="C551" s="11"/>
      <c r="D551" s="20"/>
    </row>
    <row r="552" spans="1:4">
      <c r="A552" s="19"/>
      <c r="B552" s="11"/>
      <c r="C552" s="11"/>
      <c r="D552" s="20"/>
    </row>
    <row r="553" spans="1:4">
      <c r="A553" s="19"/>
      <c r="B553" s="11"/>
      <c r="C553" s="11"/>
      <c r="D553" s="20"/>
    </row>
    <row r="554" spans="1:4">
      <c r="A554" s="19"/>
      <c r="B554" s="11"/>
      <c r="C554" s="11"/>
      <c r="D554" s="20"/>
    </row>
    <row r="555" spans="1:4">
      <c r="A555" s="19"/>
      <c r="B555" s="11"/>
      <c r="C555" s="11"/>
      <c r="D555" s="20"/>
    </row>
    <row r="556" spans="1:4">
      <c r="A556" s="19"/>
      <c r="B556" s="11"/>
      <c r="C556" s="11"/>
      <c r="D556" s="20"/>
    </row>
    <row r="557" spans="1:4">
      <c r="A557" s="19"/>
      <c r="B557" s="11"/>
      <c r="C557" s="11"/>
      <c r="D557" s="20"/>
    </row>
    <row r="558" spans="1:4">
      <c r="A558" s="19"/>
      <c r="B558" s="11"/>
      <c r="C558" s="11"/>
      <c r="D558" s="20"/>
    </row>
    <row r="559" spans="1:4">
      <c r="A559" s="19"/>
      <c r="B559" s="11"/>
      <c r="C559" s="11"/>
      <c r="D559" s="20"/>
    </row>
    <row r="560" spans="1:4">
      <c r="A560" s="19"/>
      <c r="B560" s="11"/>
      <c r="C560" s="11"/>
      <c r="D560" s="20"/>
    </row>
    <row r="561" spans="1:4">
      <c r="A561" s="19"/>
      <c r="B561" s="11"/>
      <c r="C561" s="11"/>
      <c r="D561" s="20"/>
    </row>
    <row r="562" spans="1:4">
      <c r="A562" s="19"/>
      <c r="B562" s="11"/>
      <c r="C562" s="11"/>
      <c r="D562" s="20"/>
    </row>
    <row r="563" spans="1:4">
      <c r="A563" s="19"/>
      <c r="B563" s="11"/>
      <c r="C563" s="11"/>
      <c r="D563" s="20"/>
    </row>
    <row r="564" spans="1:4">
      <c r="A564" s="19"/>
      <c r="B564" s="11"/>
      <c r="C564" s="11"/>
      <c r="D564" s="20"/>
    </row>
    <row r="565" spans="1:4">
      <c r="A565" s="19"/>
      <c r="B565" s="11"/>
      <c r="C565" s="11"/>
      <c r="D565" s="20"/>
    </row>
    <row r="566" spans="1:4">
      <c r="A566" s="19"/>
      <c r="B566" s="11"/>
      <c r="C566" s="11"/>
      <c r="D566" s="20"/>
    </row>
    <row r="567" spans="1:4">
      <c r="A567" s="19"/>
      <c r="B567" s="11"/>
      <c r="C567" s="11"/>
      <c r="D567" s="20"/>
    </row>
    <row r="568" spans="1:4">
      <c r="A568" s="19"/>
      <c r="B568" s="11"/>
      <c r="C568" s="11"/>
      <c r="D568" s="20"/>
    </row>
    <row r="569" spans="1:4">
      <c r="A569" s="19"/>
      <c r="B569" s="11"/>
      <c r="C569" s="11"/>
      <c r="D569" s="20"/>
    </row>
    <row r="570" spans="1:4">
      <c r="A570" s="19"/>
      <c r="B570" s="11"/>
      <c r="C570" s="11"/>
      <c r="D570" s="20"/>
    </row>
    <row r="571" spans="1:4">
      <c r="A571" s="19"/>
      <c r="B571" s="11"/>
      <c r="C571" s="11"/>
      <c r="D571" s="20"/>
    </row>
    <row r="572" spans="1:4">
      <c r="A572" s="19"/>
      <c r="B572" s="11"/>
      <c r="C572" s="11"/>
      <c r="D572" s="20"/>
    </row>
    <row r="573" spans="1:4">
      <c r="A573" s="19"/>
      <c r="B573" s="11"/>
      <c r="C573" s="11"/>
      <c r="D573" s="20"/>
    </row>
    <row r="574" spans="1:4">
      <c r="A574" s="19"/>
      <c r="B574" s="11"/>
      <c r="C574" s="11"/>
      <c r="D574" s="20"/>
    </row>
    <row r="575" spans="1:4">
      <c r="A575" s="19"/>
      <c r="B575" s="11"/>
      <c r="C575" s="11"/>
      <c r="D575" s="20"/>
    </row>
    <row r="576" spans="1:4">
      <c r="A576" s="19"/>
      <c r="B576" s="11"/>
      <c r="C576" s="11"/>
      <c r="D576" s="20"/>
    </row>
    <row r="577" spans="1:4">
      <c r="A577" s="19"/>
      <c r="B577" s="11"/>
      <c r="C577" s="11"/>
      <c r="D577" s="20"/>
    </row>
    <row r="578" spans="1:4">
      <c r="A578" s="19"/>
      <c r="B578" s="11"/>
      <c r="C578" s="11"/>
      <c r="D578" s="20"/>
    </row>
    <row r="579" spans="1:4">
      <c r="A579" s="19"/>
      <c r="B579" s="11"/>
      <c r="C579" s="11"/>
      <c r="D579" s="20"/>
    </row>
    <row r="580" spans="1:4">
      <c r="A580" s="19"/>
      <c r="B580" s="11"/>
      <c r="C580" s="11"/>
      <c r="D580" s="20"/>
    </row>
    <row r="581" spans="1:4">
      <c r="A581" s="19"/>
      <c r="B581" s="11"/>
      <c r="C581" s="11"/>
      <c r="D581" s="20"/>
    </row>
    <row r="582" spans="1:4">
      <c r="A582" s="19"/>
      <c r="B582" s="11"/>
      <c r="C582" s="11"/>
      <c r="D582" s="20"/>
    </row>
    <row r="583" spans="1:4">
      <c r="A583" s="19"/>
      <c r="B583" s="11"/>
      <c r="C583" s="11"/>
      <c r="D583" s="20"/>
    </row>
    <row r="584" spans="1:4">
      <c r="A584" s="19"/>
      <c r="B584" s="11"/>
      <c r="C584" s="11"/>
      <c r="D584" s="20"/>
    </row>
    <row r="585" spans="1:4">
      <c r="A585" s="19"/>
      <c r="B585" s="11"/>
      <c r="C585" s="11"/>
      <c r="D585" s="20"/>
    </row>
    <row r="586" spans="1:4">
      <c r="A586" s="19"/>
      <c r="B586" s="11"/>
      <c r="C586" s="11"/>
      <c r="D586" s="20"/>
    </row>
    <row r="587" spans="1:4">
      <c r="A587" s="19"/>
      <c r="B587" s="11"/>
      <c r="C587" s="11"/>
      <c r="D587" s="20"/>
    </row>
    <row r="588" spans="1:4">
      <c r="A588" s="19"/>
      <c r="B588" s="11"/>
      <c r="C588" s="11"/>
      <c r="D588" s="20"/>
    </row>
    <row r="589" spans="1:4">
      <c r="A589" s="19"/>
      <c r="B589" s="11"/>
      <c r="C589" s="11"/>
      <c r="D589" s="20"/>
    </row>
    <row r="590" spans="1:4">
      <c r="A590" s="19"/>
      <c r="B590" s="11"/>
      <c r="C590" s="11"/>
      <c r="D590" s="20"/>
    </row>
    <row r="591" spans="1:4">
      <c r="A591" s="19"/>
      <c r="B591" s="11"/>
      <c r="C591" s="11"/>
      <c r="D591" s="20"/>
    </row>
    <row r="592" spans="1:4">
      <c r="A592" s="19"/>
      <c r="B592" s="11"/>
      <c r="C592" s="11"/>
      <c r="D592" s="20"/>
    </row>
    <row r="593" spans="1:4">
      <c r="A593" s="19"/>
      <c r="B593" s="11"/>
      <c r="C593" s="11"/>
      <c r="D593" s="20"/>
    </row>
    <row r="594" spans="1:4">
      <c r="A594" s="19"/>
      <c r="B594" s="11"/>
      <c r="C594" s="11"/>
      <c r="D594" s="20"/>
    </row>
    <row r="595" spans="1:4">
      <c r="A595" s="19"/>
      <c r="B595" s="11"/>
      <c r="C595" s="11"/>
      <c r="D595" s="20"/>
    </row>
    <row r="596" spans="1:4">
      <c r="A596" s="19"/>
      <c r="B596" s="11"/>
      <c r="C596" s="11"/>
      <c r="D596" s="20"/>
    </row>
    <row r="597" spans="1:4">
      <c r="A597" s="19"/>
      <c r="B597" s="11"/>
      <c r="C597" s="11"/>
      <c r="D597" s="20"/>
    </row>
    <row r="598" spans="1:4">
      <c r="A598" s="19"/>
      <c r="B598" s="11"/>
      <c r="C598" s="11"/>
      <c r="D598" s="20"/>
    </row>
    <row r="599" spans="1:4">
      <c r="A599" s="19"/>
      <c r="B599" s="11"/>
      <c r="C599" s="11"/>
      <c r="D599" s="20"/>
    </row>
    <row r="600" spans="1:4">
      <c r="A600" s="19"/>
      <c r="B600" s="11"/>
      <c r="C600" s="11"/>
      <c r="D600" s="20"/>
    </row>
    <row r="601" spans="1:4">
      <c r="A601" s="19"/>
      <c r="B601" s="11"/>
      <c r="C601" s="11"/>
      <c r="D601" s="20"/>
    </row>
    <row r="602" spans="1:4">
      <c r="A602" s="19"/>
      <c r="B602" s="11"/>
      <c r="C602" s="11"/>
      <c r="D602" s="20"/>
    </row>
    <row r="603" spans="1:4">
      <c r="A603" s="19"/>
      <c r="B603" s="11"/>
      <c r="C603" s="11"/>
      <c r="D603" s="20"/>
    </row>
    <row r="604" spans="1:4">
      <c r="A604" s="19"/>
      <c r="B604" s="11"/>
      <c r="C604" s="11"/>
      <c r="D604" s="20"/>
    </row>
    <row r="605" spans="1:4">
      <c r="A605" s="19"/>
      <c r="B605" s="11"/>
      <c r="C605" s="11"/>
      <c r="D605" s="20"/>
    </row>
    <row r="606" spans="1:4">
      <c r="A606" s="19"/>
      <c r="B606" s="11"/>
      <c r="C606" s="11"/>
      <c r="D606" s="20"/>
    </row>
    <row r="607" spans="1:4">
      <c r="A607" s="19"/>
      <c r="B607" s="11"/>
      <c r="C607" s="11"/>
      <c r="D607" s="20"/>
    </row>
    <row r="608" spans="1:4">
      <c r="A608" s="19"/>
      <c r="B608" s="11"/>
      <c r="C608" s="11"/>
      <c r="D608" s="20"/>
    </row>
    <row r="609" spans="1:4">
      <c r="A609" s="19"/>
      <c r="B609" s="11"/>
      <c r="C609" s="11"/>
      <c r="D609" s="20"/>
    </row>
    <row r="610" spans="1:4">
      <c r="A610" s="19"/>
      <c r="B610" s="11"/>
      <c r="C610" s="11"/>
      <c r="D610" s="20"/>
    </row>
    <row r="611" spans="1:4">
      <c r="A611" s="19"/>
      <c r="B611" s="11"/>
      <c r="C611" s="11"/>
      <c r="D611" s="20"/>
    </row>
    <row r="612" spans="1:4">
      <c r="A612" s="19"/>
      <c r="B612" s="11"/>
      <c r="C612" s="11"/>
      <c r="D612" s="20"/>
    </row>
    <row r="613" spans="1:4">
      <c r="A613" s="19"/>
      <c r="B613" s="11"/>
      <c r="C613" s="11"/>
      <c r="D613" s="20"/>
    </row>
    <row r="614" spans="1:4">
      <c r="A614" s="19"/>
      <c r="B614" s="11"/>
      <c r="C614" s="11"/>
      <c r="D614" s="20"/>
    </row>
    <row r="615" spans="1:4">
      <c r="A615" s="19"/>
      <c r="B615" s="11"/>
      <c r="C615" s="11"/>
      <c r="D615" s="20"/>
    </row>
    <row r="616" spans="1:4">
      <c r="A616" s="19"/>
      <c r="B616" s="11"/>
      <c r="C616" s="11"/>
      <c r="D616" s="20"/>
    </row>
    <row r="617" spans="1:4">
      <c r="A617" s="19"/>
      <c r="B617" s="11"/>
      <c r="C617" s="11"/>
      <c r="D617" s="20"/>
    </row>
    <row r="618" spans="1:4">
      <c r="A618" s="19"/>
      <c r="B618" s="11"/>
      <c r="C618" s="11"/>
      <c r="D618" s="20"/>
    </row>
    <row r="619" spans="1:4">
      <c r="A619" s="19"/>
      <c r="B619" s="11"/>
      <c r="C619" s="11"/>
      <c r="D619" s="20"/>
    </row>
    <row r="620" spans="1:4">
      <c r="A620" s="19"/>
      <c r="B620" s="11"/>
      <c r="C620" s="11"/>
      <c r="D620" s="20"/>
    </row>
    <row r="621" spans="1:4">
      <c r="A621" s="19"/>
      <c r="B621" s="11"/>
      <c r="C621" s="11"/>
      <c r="D621" s="20"/>
    </row>
    <row r="622" spans="1:4">
      <c r="A622" s="19"/>
      <c r="B622" s="11"/>
      <c r="C622" s="11"/>
      <c r="D622" s="20"/>
    </row>
    <row r="623" spans="1:4">
      <c r="A623" s="19"/>
      <c r="B623" s="11"/>
      <c r="C623" s="11"/>
      <c r="D623" s="20"/>
    </row>
    <row r="624" spans="1:4">
      <c r="A624" s="19"/>
      <c r="B624" s="11"/>
      <c r="C624" s="11"/>
      <c r="D624" s="20"/>
    </row>
    <row r="625" spans="1:4">
      <c r="A625" s="19"/>
      <c r="B625" s="11"/>
      <c r="C625" s="11"/>
      <c r="D625" s="20"/>
    </row>
    <row r="626" spans="1:4">
      <c r="A626" s="19"/>
      <c r="B626" s="11"/>
      <c r="C626" s="11"/>
      <c r="D626" s="20"/>
    </row>
    <row r="627" spans="1:4">
      <c r="A627" s="19"/>
      <c r="B627" s="11"/>
      <c r="C627" s="11"/>
      <c r="D627" s="20"/>
    </row>
    <row r="628" spans="1:4">
      <c r="A628" s="19"/>
      <c r="B628" s="11"/>
      <c r="C628" s="11"/>
      <c r="D628" s="20"/>
    </row>
    <row r="629" spans="1:4">
      <c r="A629" s="19"/>
      <c r="B629" s="11"/>
      <c r="C629" s="11"/>
      <c r="D629" s="20"/>
    </row>
    <row r="630" spans="1:4">
      <c r="A630" s="19"/>
      <c r="B630" s="11"/>
      <c r="C630" s="11"/>
      <c r="D630" s="20"/>
    </row>
    <row r="631" spans="1:4">
      <c r="A631" s="19"/>
      <c r="B631" s="11"/>
      <c r="C631" s="11"/>
      <c r="D631" s="20"/>
    </row>
    <row r="632" spans="1:4">
      <c r="A632" s="19"/>
      <c r="B632" s="11"/>
      <c r="C632" s="11"/>
      <c r="D632" s="20"/>
    </row>
    <row r="633" spans="1:4">
      <c r="A633" s="19"/>
      <c r="B633" s="11"/>
      <c r="C633" s="11"/>
      <c r="D633" s="20"/>
    </row>
    <row r="634" spans="1:4">
      <c r="A634" s="19"/>
      <c r="B634" s="11"/>
      <c r="C634" s="11"/>
      <c r="D634" s="20"/>
    </row>
    <row r="635" spans="1:4">
      <c r="A635" s="19"/>
      <c r="B635" s="11"/>
      <c r="C635" s="11"/>
      <c r="D635" s="20"/>
    </row>
    <row r="636" spans="1:4">
      <c r="A636" s="19"/>
      <c r="B636" s="11"/>
      <c r="C636" s="11"/>
      <c r="D636" s="20"/>
    </row>
    <row r="637" spans="1:4">
      <c r="A637" s="19"/>
      <c r="B637" s="11"/>
      <c r="C637" s="11"/>
      <c r="D637" s="20"/>
    </row>
    <row r="638" spans="1:4">
      <c r="A638" s="19"/>
      <c r="B638" s="11"/>
      <c r="C638" s="11"/>
      <c r="D638" s="20"/>
    </row>
    <row r="639" spans="1:4">
      <c r="A639" s="19"/>
      <c r="B639" s="11"/>
      <c r="C639" s="11"/>
      <c r="D639" s="20"/>
    </row>
    <row r="640" spans="1:4">
      <c r="A640" s="19"/>
      <c r="B640" s="11"/>
      <c r="C640" s="11"/>
      <c r="D640" s="20"/>
    </row>
    <row r="641" spans="1:4">
      <c r="A641" s="19"/>
      <c r="B641" s="11"/>
      <c r="C641" s="11"/>
      <c r="D641" s="20"/>
    </row>
    <row r="642" spans="1:4">
      <c r="A642" s="19"/>
      <c r="B642" s="11"/>
      <c r="C642" s="11"/>
      <c r="D642" s="20"/>
    </row>
    <row r="643" spans="1:4">
      <c r="A643" s="19"/>
      <c r="B643" s="11"/>
      <c r="C643" s="11"/>
      <c r="D643" s="20"/>
    </row>
    <row r="644" spans="1:4">
      <c r="A644" s="19"/>
      <c r="B644" s="11"/>
      <c r="C644" s="11"/>
      <c r="D644" s="20"/>
    </row>
    <row r="645" spans="1:4">
      <c r="A645" s="19"/>
      <c r="B645" s="11"/>
      <c r="C645" s="11"/>
      <c r="D645" s="20"/>
    </row>
    <row r="646" spans="1:4">
      <c r="A646" s="19"/>
      <c r="B646" s="11"/>
      <c r="C646" s="11"/>
      <c r="D646" s="20"/>
    </row>
    <row r="647" spans="1:4">
      <c r="A647" s="19"/>
      <c r="B647" s="11"/>
      <c r="C647" s="11"/>
      <c r="D647" s="20"/>
    </row>
    <row r="648" spans="1:4">
      <c r="A648" s="19"/>
      <c r="B648" s="11"/>
      <c r="C648" s="11"/>
      <c r="D648" s="20"/>
    </row>
    <row r="649" spans="1:4">
      <c r="A649" s="19"/>
      <c r="B649" s="11"/>
      <c r="C649" s="11"/>
      <c r="D649" s="20"/>
    </row>
    <row r="650" spans="1:4">
      <c r="A650" s="19"/>
      <c r="B650" s="11"/>
      <c r="C650" s="11"/>
      <c r="D650" s="20"/>
    </row>
    <row r="651" spans="1:4">
      <c r="A651" s="19"/>
      <c r="B651" s="11"/>
      <c r="C651" s="11"/>
      <c r="D651" s="20"/>
    </row>
    <row r="652" spans="1:4">
      <c r="A652" s="19"/>
      <c r="B652" s="11"/>
      <c r="C652" s="11"/>
      <c r="D652" s="20"/>
    </row>
    <row r="653" spans="1:4">
      <c r="A653" s="19"/>
      <c r="B653" s="11"/>
      <c r="C653" s="11"/>
      <c r="D653" s="20"/>
    </row>
    <row r="654" spans="1:4">
      <c r="A654" s="19"/>
      <c r="B654" s="11"/>
      <c r="C654" s="11"/>
      <c r="D654" s="20"/>
    </row>
    <row r="655" spans="1:4">
      <c r="A655" s="19"/>
      <c r="B655" s="11"/>
      <c r="C655" s="11"/>
      <c r="D655" s="20"/>
    </row>
    <row r="656" spans="1:4">
      <c r="A656" s="19"/>
      <c r="B656" s="11"/>
      <c r="C656" s="11"/>
      <c r="D656" s="20"/>
    </row>
    <row r="657" spans="1:4">
      <c r="A657" s="19"/>
      <c r="B657" s="11"/>
      <c r="C657" s="11"/>
      <c r="D657" s="20"/>
    </row>
    <row r="658" spans="1:4">
      <c r="A658" s="19"/>
      <c r="B658" s="11"/>
      <c r="C658" s="11"/>
      <c r="D658" s="20"/>
    </row>
    <row r="659" spans="1:4">
      <c r="A659" s="19"/>
      <c r="B659" s="11"/>
      <c r="C659" s="11"/>
      <c r="D659" s="20"/>
    </row>
    <row r="660" spans="1:4">
      <c r="A660" s="19"/>
      <c r="B660" s="11"/>
      <c r="C660" s="11"/>
      <c r="D660" s="20"/>
    </row>
    <row r="661" spans="1:4">
      <c r="A661" s="19"/>
      <c r="B661" s="11"/>
      <c r="C661" s="11"/>
      <c r="D661" s="20"/>
    </row>
    <row r="662" spans="1:4">
      <c r="A662" s="19"/>
      <c r="B662" s="11"/>
      <c r="C662" s="11"/>
      <c r="D662" s="20"/>
    </row>
    <row r="663" spans="1:4">
      <c r="A663" s="19"/>
      <c r="B663" s="11"/>
      <c r="C663" s="11"/>
      <c r="D663" s="20"/>
    </row>
    <row r="664" spans="1:4">
      <c r="A664" s="19"/>
      <c r="B664" s="11"/>
      <c r="C664" s="11"/>
      <c r="D664" s="20"/>
    </row>
    <row r="665" spans="1:4">
      <c r="A665" s="19"/>
      <c r="B665" s="11"/>
      <c r="C665" s="11"/>
      <c r="D665" s="20"/>
    </row>
    <row r="666" spans="1:4">
      <c r="A666" s="19"/>
      <c r="B666" s="11"/>
      <c r="C666" s="11"/>
      <c r="D666" s="20"/>
    </row>
    <row r="667" spans="1:4">
      <c r="A667" s="19"/>
      <c r="B667" s="11"/>
      <c r="C667" s="11"/>
      <c r="D667" s="20"/>
    </row>
    <row r="668" spans="1:4">
      <c r="A668" s="19"/>
      <c r="B668" s="11"/>
      <c r="C668" s="11"/>
      <c r="D668" s="20"/>
    </row>
    <row r="669" spans="1:4">
      <c r="A669" s="19"/>
      <c r="B669" s="11"/>
      <c r="C669" s="11"/>
      <c r="D669" s="20"/>
    </row>
    <row r="670" spans="1:4">
      <c r="A670" s="19"/>
      <c r="B670" s="11"/>
      <c r="C670" s="11"/>
      <c r="D670" s="20"/>
    </row>
    <row r="671" spans="1:4">
      <c r="A671" s="19"/>
      <c r="B671" s="11"/>
      <c r="C671" s="11"/>
      <c r="D671" s="20"/>
    </row>
    <row r="672" spans="1:4">
      <c r="A672" s="19"/>
      <c r="B672" s="11"/>
      <c r="C672" s="11"/>
      <c r="D672" s="20"/>
    </row>
    <row r="673" spans="1:4">
      <c r="A673" s="19"/>
      <c r="B673" s="11"/>
      <c r="C673" s="11"/>
      <c r="D673" s="20"/>
    </row>
    <row r="674" spans="1:4">
      <c r="A674" s="19"/>
      <c r="B674" s="11"/>
      <c r="C674" s="11"/>
      <c r="D674" s="20"/>
    </row>
    <row r="675" spans="1:4">
      <c r="A675" s="19"/>
      <c r="B675" s="11"/>
      <c r="C675" s="11"/>
      <c r="D675" s="20"/>
    </row>
    <row r="676" spans="1:4">
      <c r="A676" s="19"/>
      <c r="B676" s="11"/>
      <c r="C676" s="11"/>
      <c r="D676" s="20"/>
    </row>
    <row r="677" spans="1:4">
      <c r="A677" s="19"/>
      <c r="B677" s="11"/>
      <c r="C677" s="11"/>
      <c r="D677" s="20"/>
    </row>
    <row r="678" spans="1:4">
      <c r="A678" s="19"/>
      <c r="B678" s="11"/>
      <c r="C678" s="11"/>
      <c r="D678" s="20"/>
    </row>
    <row r="679" spans="1:4">
      <c r="A679" s="19"/>
      <c r="B679" s="11"/>
      <c r="C679" s="11"/>
      <c r="D679" s="20"/>
    </row>
    <row r="680" spans="1:4">
      <c r="A680" s="19"/>
      <c r="B680" s="11"/>
      <c r="C680" s="11"/>
      <c r="D680" s="20"/>
    </row>
    <row r="681" spans="1:4">
      <c r="A681" s="19"/>
      <c r="B681" s="11"/>
      <c r="C681" s="11"/>
      <c r="D681" s="20"/>
    </row>
    <row r="682" spans="1:4">
      <c r="A682" s="19"/>
      <c r="B682" s="11"/>
      <c r="C682" s="11"/>
      <c r="D682" s="20"/>
    </row>
    <row r="683" spans="1:4">
      <c r="A683" s="19"/>
      <c r="B683" s="11"/>
      <c r="C683" s="11"/>
      <c r="D683" s="20"/>
    </row>
    <row r="684" spans="1:4">
      <c r="A684" s="19"/>
      <c r="B684" s="11"/>
      <c r="C684" s="11"/>
      <c r="D684" s="20"/>
    </row>
    <row r="685" spans="1:4">
      <c r="A685" s="19"/>
      <c r="B685" s="11"/>
      <c r="C685" s="11"/>
      <c r="D685" s="20"/>
    </row>
    <row r="686" spans="1:4">
      <c r="A686" s="19"/>
      <c r="B686" s="11"/>
      <c r="C686" s="11"/>
      <c r="D686" s="20"/>
    </row>
    <row r="687" spans="1:4">
      <c r="A687" s="19"/>
      <c r="B687" s="11"/>
      <c r="C687" s="11"/>
      <c r="D687" s="20"/>
    </row>
    <row r="688" spans="1:4">
      <c r="A688" s="19"/>
      <c r="B688" s="11"/>
      <c r="C688" s="11"/>
      <c r="D688" s="20"/>
    </row>
    <row r="689" spans="1:4">
      <c r="A689" s="19"/>
      <c r="B689" s="11"/>
      <c r="C689" s="11"/>
      <c r="D689" s="20"/>
    </row>
    <row r="690" spans="1:4">
      <c r="A690" s="19"/>
      <c r="B690" s="11"/>
      <c r="C690" s="11"/>
      <c r="D690" s="20"/>
    </row>
    <row r="691" spans="1:4">
      <c r="A691" s="19"/>
      <c r="B691" s="11"/>
      <c r="C691" s="11"/>
      <c r="D691" s="20"/>
    </row>
    <row r="692" spans="1:4">
      <c r="A692" s="19"/>
      <c r="B692" s="11"/>
      <c r="C692" s="11"/>
      <c r="D692" s="20"/>
    </row>
    <row r="693" spans="1:4">
      <c r="A693" s="19"/>
      <c r="B693" s="11"/>
      <c r="C693" s="11"/>
      <c r="D693" s="20"/>
    </row>
    <row r="694" spans="1:4">
      <c r="A694" s="19"/>
      <c r="B694" s="11"/>
      <c r="C694" s="11"/>
      <c r="D694" s="20"/>
    </row>
    <row r="695" spans="1:4">
      <c r="A695" s="19"/>
      <c r="B695" s="11"/>
      <c r="C695" s="11"/>
      <c r="D695" s="20"/>
    </row>
    <row r="696" spans="1:4">
      <c r="A696" s="19"/>
      <c r="B696" s="11"/>
      <c r="C696" s="11"/>
      <c r="D696" s="20"/>
    </row>
    <row r="697" spans="1:4">
      <c r="A697" s="19"/>
      <c r="B697" s="11"/>
      <c r="C697" s="11"/>
      <c r="D697" s="20"/>
    </row>
    <row r="698" spans="1:4">
      <c r="A698" s="19"/>
      <c r="B698" s="11"/>
      <c r="C698" s="11"/>
      <c r="D698" s="20"/>
    </row>
    <row r="699" spans="1:4">
      <c r="A699" s="19"/>
      <c r="B699" s="11"/>
      <c r="C699" s="11"/>
      <c r="D699" s="20"/>
    </row>
    <row r="700" spans="1:4">
      <c r="A700" s="19"/>
      <c r="B700" s="11"/>
      <c r="C700" s="11"/>
      <c r="D700" s="20"/>
    </row>
    <row r="701" spans="1:4">
      <c r="A701" s="19"/>
      <c r="B701" s="11"/>
      <c r="C701" s="11"/>
      <c r="D701" s="20"/>
    </row>
    <row r="702" spans="1:4">
      <c r="A702" s="19"/>
      <c r="B702" s="11"/>
      <c r="C702" s="11"/>
      <c r="D702" s="20"/>
    </row>
    <row r="703" spans="1:4">
      <c r="A703" s="19"/>
      <c r="B703" s="11"/>
      <c r="C703" s="11"/>
      <c r="D703" s="20"/>
    </row>
    <row r="704" spans="1:4">
      <c r="A704" s="19"/>
      <c r="B704" s="11"/>
      <c r="C704" s="11"/>
      <c r="D704" s="20"/>
    </row>
    <row r="705" spans="1:4">
      <c r="A705" s="19"/>
      <c r="B705" s="11"/>
      <c r="C705" s="11"/>
      <c r="D705" s="20"/>
    </row>
    <row r="706" spans="1:4">
      <c r="A706" s="19"/>
      <c r="B706" s="11"/>
      <c r="C706" s="11"/>
      <c r="D706" s="20"/>
    </row>
    <row r="707" spans="1:4">
      <c r="A707" s="19"/>
      <c r="B707" s="11"/>
      <c r="C707" s="11"/>
      <c r="D707" s="20"/>
    </row>
    <row r="708" spans="1:4">
      <c r="A708" s="19"/>
      <c r="B708" s="11"/>
      <c r="C708" s="11"/>
      <c r="D708" s="20"/>
    </row>
    <row r="709" spans="1:4">
      <c r="A709" s="19"/>
      <c r="B709" s="11"/>
      <c r="C709" s="11"/>
      <c r="D709" s="20"/>
    </row>
    <row r="710" spans="1:4">
      <c r="A710" s="19"/>
      <c r="B710" s="11"/>
      <c r="C710" s="11"/>
      <c r="D710" s="20"/>
    </row>
    <row r="711" spans="1:4">
      <c r="A711" s="19"/>
      <c r="B711" s="11"/>
      <c r="C711" s="11"/>
      <c r="D711" s="20"/>
    </row>
    <row r="712" spans="1:4">
      <c r="A712" s="19"/>
      <c r="B712" s="11"/>
      <c r="C712" s="11"/>
      <c r="D712" s="20"/>
    </row>
    <row r="713" spans="1:4">
      <c r="A713" s="19"/>
      <c r="B713" s="11"/>
      <c r="C713" s="11"/>
      <c r="D713" s="20"/>
    </row>
    <row r="714" spans="1:4">
      <c r="A714" s="19"/>
      <c r="B714" s="11"/>
      <c r="C714" s="11"/>
      <c r="D714" s="20"/>
    </row>
    <row r="715" spans="1:4">
      <c r="A715" s="19"/>
      <c r="B715" s="11"/>
      <c r="C715" s="11"/>
      <c r="D715" s="20"/>
    </row>
    <row r="716" spans="1:4">
      <c r="A716" s="19"/>
      <c r="B716" s="11"/>
      <c r="C716" s="11"/>
      <c r="D716" s="20"/>
    </row>
    <row r="717" spans="1:4">
      <c r="A717" s="19"/>
      <c r="B717" s="11"/>
      <c r="C717" s="11"/>
      <c r="D717" s="20"/>
    </row>
    <row r="718" spans="1:4">
      <c r="A718" s="19"/>
      <c r="B718" s="11"/>
      <c r="C718" s="11"/>
      <c r="D718" s="20"/>
    </row>
    <row r="719" spans="1:4">
      <c r="A719" s="19"/>
      <c r="B719" s="11"/>
      <c r="C719" s="11"/>
      <c r="D719" s="20"/>
    </row>
    <row r="720" spans="1:4">
      <c r="A720" s="19"/>
      <c r="B720" s="11"/>
      <c r="C720" s="11"/>
      <c r="D720" s="20"/>
    </row>
    <row r="721" spans="1:4">
      <c r="A721" s="19"/>
      <c r="B721" s="11"/>
      <c r="C721" s="11"/>
      <c r="D721" s="20"/>
    </row>
    <row r="722" spans="1:4">
      <c r="A722" s="19"/>
      <c r="B722" s="11"/>
      <c r="C722" s="11"/>
      <c r="D722" s="20"/>
    </row>
    <row r="723" spans="1:4">
      <c r="A723" s="19"/>
      <c r="B723" s="11"/>
      <c r="C723" s="11"/>
      <c r="D723" s="20"/>
    </row>
    <row r="724" spans="1:4">
      <c r="A724" s="19"/>
      <c r="B724" s="11"/>
      <c r="C724" s="11"/>
      <c r="D724" s="20"/>
    </row>
    <row r="725" spans="1:4">
      <c r="A725" s="19"/>
      <c r="B725" s="11"/>
      <c r="C725" s="11"/>
      <c r="D725" s="20"/>
    </row>
    <row r="726" spans="1:4">
      <c r="A726" s="19"/>
      <c r="B726" s="11"/>
      <c r="C726" s="11"/>
      <c r="D726" s="20"/>
    </row>
    <row r="727" spans="1:4">
      <c r="A727" s="19"/>
      <c r="B727" s="11"/>
      <c r="C727" s="11"/>
      <c r="D727" s="20"/>
    </row>
    <row r="728" spans="1:4">
      <c r="A728" s="19"/>
      <c r="B728" s="11"/>
      <c r="C728" s="11"/>
      <c r="D728" s="20"/>
    </row>
    <row r="729" spans="1:4">
      <c r="A729" s="19"/>
      <c r="B729" s="11"/>
      <c r="C729" s="11"/>
      <c r="D729" s="20"/>
    </row>
    <row r="730" spans="1:4">
      <c r="A730" s="19"/>
      <c r="B730" s="11"/>
      <c r="C730" s="11"/>
      <c r="D730" s="20"/>
    </row>
    <row r="731" spans="1:4">
      <c r="A731" s="19"/>
      <c r="B731" s="11"/>
      <c r="C731" s="11"/>
      <c r="D731" s="20"/>
    </row>
    <row r="732" spans="1:4">
      <c r="A732" s="19"/>
      <c r="B732" s="11"/>
      <c r="C732" s="11"/>
      <c r="D732" s="20"/>
    </row>
    <row r="733" spans="1:4">
      <c r="A733" s="19"/>
      <c r="B733" s="11"/>
      <c r="C733" s="11"/>
      <c r="D733" s="20"/>
    </row>
    <row r="734" spans="1:4">
      <c r="A734" s="19"/>
      <c r="B734" s="11"/>
      <c r="C734" s="11"/>
      <c r="D734" s="20"/>
    </row>
    <row r="735" spans="1:4">
      <c r="A735" s="19"/>
      <c r="B735" s="11"/>
      <c r="C735" s="11"/>
      <c r="D735" s="20"/>
    </row>
    <row r="736" spans="1:4">
      <c r="A736" s="19"/>
      <c r="B736" s="11"/>
      <c r="C736" s="11"/>
      <c r="D736" s="20"/>
    </row>
    <row r="737" spans="1:4">
      <c r="A737" s="19"/>
      <c r="B737" s="11"/>
      <c r="C737" s="11"/>
      <c r="D737" s="20"/>
    </row>
    <row r="738" spans="1:4">
      <c r="A738" s="19"/>
      <c r="B738" s="11"/>
      <c r="C738" s="11"/>
      <c r="D738" s="20"/>
    </row>
    <row r="739" spans="1:4">
      <c r="A739" s="19"/>
      <c r="B739" s="11"/>
      <c r="C739" s="11"/>
      <c r="D739" s="20"/>
    </row>
    <row r="740" spans="1:4">
      <c r="A740" s="19"/>
      <c r="B740" s="11"/>
      <c r="C740" s="11"/>
      <c r="D740" s="20"/>
    </row>
    <row r="741" spans="1:4">
      <c r="A741" s="19"/>
      <c r="B741" s="11"/>
      <c r="C741" s="11"/>
      <c r="D741" s="20"/>
    </row>
    <row r="742" spans="1:4">
      <c r="A742" s="19"/>
      <c r="B742" s="11"/>
      <c r="C742" s="11"/>
      <c r="D742" s="20"/>
    </row>
    <row r="743" spans="1:4">
      <c r="A743" s="19"/>
      <c r="B743" s="11"/>
      <c r="C743" s="11"/>
      <c r="D743" s="20"/>
    </row>
    <row r="744" spans="1:4">
      <c r="A744" s="19"/>
      <c r="B744" s="11"/>
      <c r="C744" s="11"/>
      <c r="D744" s="20"/>
    </row>
    <row r="745" spans="1:4">
      <c r="A745" s="19"/>
      <c r="B745" s="11"/>
      <c r="C745" s="11"/>
      <c r="D745" s="20"/>
    </row>
    <row r="746" spans="1:4">
      <c r="A746" s="19"/>
      <c r="B746" s="11"/>
      <c r="C746" s="11"/>
      <c r="D746" s="20"/>
    </row>
    <row r="747" spans="1:4">
      <c r="A747" s="19"/>
      <c r="B747" s="11"/>
      <c r="C747" s="11"/>
      <c r="D747" s="20"/>
    </row>
    <row r="748" spans="1:4">
      <c r="A748" s="19"/>
      <c r="B748" s="11"/>
      <c r="C748" s="11"/>
      <c r="D748" s="20"/>
    </row>
    <row r="749" spans="1:4">
      <c r="A749" s="19"/>
      <c r="B749" s="11"/>
      <c r="C749" s="11"/>
      <c r="D749" s="20"/>
    </row>
    <row r="750" spans="1:4">
      <c r="A750" s="19"/>
      <c r="B750" s="11"/>
      <c r="C750" s="11"/>
      <c r="D750" s="20"/>
    </row>
    <row r="751" spans="1:4">
      <c r="A751" s="19"/>
      <c r="B751" s="11"/>
      <c r="C751" s="11"/>
      <c r="D751" s="20"/>
    </row>
    <row r="752" spans="1:4">
      <c r="A752" s="19"/>
      <c r="B752" s="11"/>
      <c r="C752" s="11"/>
      <c r="D752" s="20"/>
    </row>
    <row r="753" spans="1:4">
      <c r="A753" s="19"/>
      <c r="B753" s="11"/>
      <c r="C753" s="11"/>
      <c r="D753" s="20"/>
    </row>
    <row r="754" spans="1:4">
      <c r="A754" s="19"/>
      <c r="B754" s="11"/>
      <c r="C754" s="11"/>
      <c r="D754" s="20"/>
    </row>
    <row r="755" spans="1:4">
      <c r="A755" s="19"/>
      <c r="B755" s="11"/>
      <c r="C755" s="11"/>
      <c r="D755" s="20"/>
    </row>
    <row r="756" spans="1:4">
      <c r="A756" s="19"/>
      <c r="B756" s="11"/>
      <c r="C756" s="11"/>
      <c r="D756" s="20"/>
    </row>
    <row r="757" spans="1:4">
      <c r="A757" s="19"/>
      <c r="B757" s="11"/>
      <c r="C757" s="11"/>
      <c r="D757" s="20"/>
    </row>
    <row r="758" spans="1:4">
      <c r="A758" s="19"/>
      <c r="B758" s="11"/>
      <c r="C758" s="11"/>
      <c r="D758" s="20"/>
    </row>
    <row r="759" spans="1:4">
      <c r="A759" s="19"/>
      <c r="B759" s="11"/>
      <c r="C759" s="11"/>
      <c r="D759" s="20"/>
    </row>
    <row r="760" spans="1:4">
      <c r="A760" s="19"/>
      <c r="B760" s="11"/>
      <c r="C760" s="11"/>
      <c r="D760" s="20"/>
    </row>
    <row r="761" spans="1:4">
      <c r="A761" s="19"/>
      <c r="B761" s="11"/>
      <c r="C761" s="11"/>
      <c r="D761" s="20"/>
    </row>
    <row r="762" spans="1:4">
      <c r="A762" s="19"/>
      <c r="B762" s="11"/>
      <c r="C762" s="11"/>
      <c r="D762" s="20"/>
    </row>
    <row r="763" spans="1:4">
      <c r="A763" s="19"/>
      <c r="B763" s="11"/>
      <c r="C763" s="11"/>
      <c r="D763" s="20"/>
    </row>
    <row r="764" spans="1:4">
      <c r="A764" s="19"/>
      <c r="B764" s="11"/>
      <c r="C764" s="11"/>
      <c r="D764" s="20"/>
    </row>
    <row r="765" spans="1:4">
      <c r="A765" s="19"/>
      <c r="B765" s="11"/>
      <c r="C765" s="11"/>
      <c r="D765" s="20"/>
    </row>
    <row r="766" spans="1:4">
      <c r="A766" s="19"/>
      <c r="B766" s="11"/>
      <c r="C766" s="11"/>
      <c r="D766" s="20"/>
    </row>
    <row r="767" spans="1:4">
      <c r="A767" s="19"/>
      <c r="B767" s="11"/>
      <c r="C767" s="11"/>
      <c r="D767" s="20"/>
    </row>
    <row r="768" spans="1:4">
      <c r="A768" s="19"/>
      <c r="B768" s="11"/>
      <c r="C768" s="11"/>
      <c r="D768" s="20"/>
    </row>
    <row r="769" spans="1:4">
      <c r="A769" s="19"/>
      <c r="B769" s="11"/>
      <c r="C769" s="11"/>
      <c r="D769" s="20"/>
    </row>
    <row r="770" spans="1:4">
      <c r="A770" s="19"/>
      <c r="B770" s="11"/>
      <c r="C770" s="11"/>
      <c r="D770" s="20"/>
    </row>
    <row r="771" spans="1:4">
      <c r="A771" s="19"/>
      <c r="B771" s="11"/>
      <c r="C771" s="11"/>
      <c r="D771" s="20"/>
    </row>
    <row r="772" spans="1:4">
      <c r="A772" s="19"/>
      <c r="B772" s="11"/>
      <c r="C772" s="11"/>
      <c r="D772" s="20"/>
    </row>
    <row r="773" spans="1:4">
      <c r="A773" s="19"/>
      <c r="B773" s="11"/>
      <c r="C773" s="11"/>
      <c r="D773" s="20"/>
    </row>
    <row r="774" spans="1:4">
      <c r="A774" s="19"/>
      <c r="B774" s="11"/>
      <c r="C774" s="11"/>
      <c r="D774" s="20"/>
    </row>
    <row r="775" spans="1:4">
      <c r="A775" s="19"/>
      <c r="B775" s="11"/>
      <c r="C775" s="11"/>
      <c r="D775" s="20"/>
    </row>
    <row r="776" spans="1:4">
      <c r="A776" s="19"/>
      <c r="B776" s="11"/>
      <c r="C776" s="11"/>
      <c r="D776" s="20"/>
    </row>
    <row r="777" spans="1:4">
      <c r="A777" s="19"/>
      <c r="B777" s="11"/>
      <c r="C777" s="11"/>
      <c r="D777" s="20"/>
    </row>
    <row r="778" spans="1:4">
      <c r="A778" s="19"/>
      <c r="B778" s="11"/>
      <c r="C778" s="11"/>
      <c r="D778" s="20"/>
    </row>
    <row r="779" spans="1:4">
      <c r="A779" s="19"/>
      <c r="B779" s="11"/>
      <c r="C779" s="11"/>
      <c r="D779" s="20"/>
    </row>
    <row r="780" spans="1:4">
      <c r="A780" s="19"/>
      <c r="B780" s="11"/>
      <c r="C780" s="11"/>
      <c r="D780" s="20"/>
    </row>
    <row r="781" spans="1:4">
      <c r="A781" s="19"/>
      <c r="B781" s="11"/>
      <c r="C781" s="11"/>
      <c r="D781" s="20"/>
    </row>
    <row r="782" spans="1:4">
      <c r="A782" s="19"/>
      <c r="B782" s="11"/>
      <c r="C782" s="11"/>
      <c r="D782" s="20"/>
    </row>
    <row r="783" spans="1:4">
      <c r="A783" s="19"/>
      <c r="B783" s="11"/>
      <c r="C783" s="11"/>
      <c r="D783" s="20"/>
    </row>
    <row r="784" spans="1:4">
      <c r="A784" s="19"/>
      <c r="B784" s="11"/>
      <c r="C784" s="11"/>
      <c r="D784" s="20"/>
    </row>
    <row r="785" spans="1:4">
      <c r="A785" s="19"/>
      <c r="B785" s="11"/>
      <c r="C785" s="11"/>
      <c r="D785" s="20"/>
    </row>
    <row r="786" spans="1:4">
      <c r="A786" s="19"/>
      <c r="B786" s="11"/>
      <c r="C786" s="11"/>
      <c r="D786" s="20"/>
    </row>
    <row r="787" spans="1:4">
      <c r="A787" s="19"/>
      <c r="B787" s="11"/>
      <c r="C787" s="11"/>
      <c r="D787" s="20"/>
    </row>
    <row r="788" spans="1:4">
      <c r="A788" s="19"/>
      <c r="B788" s="11"/>
      <c r="C788" s="11"/>
      <c r="D788" s="20"/>
    </row>
    <row r="789" spans="1:4">
      <c r="A789" s="19"/>
      <c r="B789" s="11"/>
      <c r="C789" s="11"/>
      <c r="D789" s="20"/>
    </row>
    <row r="790" spans="1:4">
      <c r="A790" s="19"/>
      <c r="B790" s="11"/>
      <c r="C790" s="11"/>
      <c r="D790" s="20"/>
    </row>
    <row r="791" spans="1:4">
      <c r="A791" s="19"/>
      <c r="B791" s="11"/>
      <c r="C791" s="11"/>
      <c r="D791" s="20"/>
    </row>
    <row r="792" spans="1:4">
      <c r="A792" s="19"/>
      <c r="B792" s="11"/>
      <c r="C792" s="11"/>
      <c r="D792" s="20"/>
    </row>
    <row r="793" spans="1:4">
      <c r="A793" s="19"/>
      <c r="B793" s="11"/>
      <c r="C793" s="11"/>
      <c r="D793" s="20"/>
    </row>
    <row r="794" spans="1:4">
      <c r="A794" s="19"/>
      <c r="B794" s="11"/>
      <c r="C794" s="11"/>
      <c r="D794" s="20"/>
    </row>
    <row r="795" spans="1:4">
      <c r="A795" s="19"/>
      <c r="B795" s="11"/>
      <c r="C795" s="11"/>
      <c r="D795" s="20"/>
    </row>
    <row r="796" spans="1:4">
      <c r="A796" s="19"/>
      <c r="B796" s="11"/>
      <c r="C796" s="11"/>
      <c r="D796" s="20"/>
    </row>
    <row r="797" spans="1:4">
      <c r="A797" s="19"/>
      <c r="B797" s="11"/>
      <c r="C797" s="11"/>
      <c r="D797" s="20"/>
    </row>
    <row r="798" spans="1:4">
      <c r="A798" s="19"/>
      <c r="B798" s="11"/>
      <c r="C798" s="11"/>
      <c r="D798" s="20"/>
    </row>
    <row r="799" spans="1:4">
      <c r="A799" s="19"/>
      <c r="B799" s="11"/>
      <c r="C799" s="11"/>
      <c r="D799" s="20"/>
    </row>
    <row r="800" spans="1:4">
      <c r="A800" s="19"/>
      <c r="B800" s="11"/>
      <c r="C800" s="11"/>
      <c r="D800" s="20"/>
    </row>
    <row r="801" spans="1:4">
      <c r="A801" s="19"/>
      <c r="B801" s="11"/>
      <c r="C801" s="11"/>
      <c r="D801" s="20"/>
    </row>
    <row r="802" spans="1:4">
      <c r="A802" s="19"/>
      <c r="B802" s="11"/>
      <c r="C802" s="11"/>
      <c r="D802" s="20"/>
    </row>
    <row r="803" spans="1:4">
      <c r="A803" s="19"/>
      <c r="B803" s="11"/>
      <c r="C803" s="11"/>
      <c r="D803" s="20"/>
    </row>
    <row r="804" spans="1:4">
      <c r="A804" s="19"/>
      <c r="B804" s="11"/>
      <c r="C804" s="11"/>
      <c r="D804" s="20"/>
    </row>
    <row r="805" spans="1:4">
      <c r="A805" s="19"/>
      <c r="B805" s="11"/>
      <c r="C805" s="11"/>
      <c r="D805" s="20"/>
    </row>
    <row r="806" spans="1:4">
      <c r="A806" s="19"/>
      <c r="B806" s="11"/>
      <c r="C806" s="11"/>
      <c r="D806" s="20"/>
    </row>
    <row r="807" spans="1:4">
      <c r="A807" s="19"/>
      <c r="B807" s="11"/>
      <c r="C807" s="11"/>
      <c r="D807" s="20"/>
    </row>
    <row r="808" spans="1:4">
      <c r="A808" s="19"/>
      <c r="B808" s="11"/>
      <c r="C808" s="11"/>
      <c r="D808" s="20"/>
    </row>
    <row r="809" spans="1:4">
      <c r="A809" s="19"/>
      <c r="B809" s="11"/>
      <c r="C809" s="11"/>
      <c r="D809" s="20"/>
    </row>
    <row r="810" spans="1:4">
      <c r="A810" s="19"/>
      <c r="B810" s="11"/>
      <c r="C810" s="11"/>
      <c r="D810" s="20"/>
    </row>
    <row r="811" spans="1:4">
      <c r="A811" s="19"/>
      <c r="B811" s="11"/>
      <c r="C811" s="11"/>
      <c r="D811" s="20"/>
    </row>
    <row r="812" spans="1:4">
      <c r="A812" s="19"/>
      <c r="B812" s="11"/>
      <c r="C812" s="11"/>
      <c r="D812" s="20"/>
    </row>
    <row r="813" spans="1:4">
      <c r="A813" s="19"/>
      <c r="B813" s="11"/>
      <c r="C813" s="11"/>
      <c r="D813" s="20"/>
    </row>
    <row r="814" spans="1:4">
      <c r="A814" s="19"/>
      <c r="B814" s="11"/>
      <c r="C814" s="11"/>
      <c r="D814" s="20"/>
    </row>
    <row r="815" spans="1:4">
      <c r="A815" s="19"/>
      <c r="B815" s="11"/>
      <c r="C815" s="11"/>
      <c r="D815" s="20"/>
    </row>
    <row r="816" spans="1:4">
      <c r="A816" s="19"/>
      <c r="B816" s="11"/>
      <c r="C816" s="11"/>
      <c r="D816" s="20"/>
    </row>
    <row r="817" spans="1:4">
      <c r="A817" s="19"/>
      <c r="B817" s="11"/>
      <c r="C817" s="11"/>
      <c r="D817" s="20"/>
    </row>
    <row r="818" spans="1:4">
      <c r="A818" s="19"/>
      <c r="B818" s="11"/>
      <c r="C818" s="11"/>
      <c r="D818" s="20"/>
    </row>
    <row r="819" spans="1:4">
      <c r="A819" s="19"/>
      <c r="B819" s="11"/>
      <c r="C819" s="11"/>
      <c r="D819" s="20"/>
    </row>
    <row r="820" spans="1:4">
      <c r="A820" s="19"/>
      <c r="B820" s="11"/>
      <c r="C820" s="11"/>
      <c r="D820" s="20"/>
    </row>
    <row r="821" spans="1:4">
      <c r="A821" s="19"/>
      <c r="B821" s="11"/>
      <c r="C821" s="11"/>
      <c r="D821" s="20"/>
    </row>
    <row r="822" spans="1:4">
      <c r="A822" s="19"/>
      <c r="B822" s="11"/>
      <c r="C822" s="11"/>
      <c r="D822" s="20"/>
    </row>
    <row r="823" spans="1:4">
      <c r="A823" s="19"/>
      <c r="B823" s="11"/>
      <c r="C823" s="11"/>
      <c r="D823" s="20"/>
    </row>
    <row r="824" spans="1:4">
      <c r="A824" s="19"/>
      <c r="B824" s="11"/>
      <c r="C824" s="11"/>
      <c r="D824" s="20"/>
    </row>
    <row r="825" spans="1:4">
      <c r="A825" s="19"/>
      <c r="B825" s="11"/>
      <c r="C825" s="11"/>
      <c r="D825" s="20"/>
    </row>
    <row r="826" spans="1:4">
      <c r="A826" s="19"/>
      <c r="B826" s="11"/>
      <c r="C826" s="11"/>
      <c r="D826" s="20"/>
    </row>
    <row r="827" spans="1:4">
      <c r="A827" s="19"/>
      <c r="B827" s="11"/>
      <c r="C827" s="11"/>
      <c r="D827" s="20"/>
    </row>
    <row r="828" spans="1:4">
      <c r="A828" s="19"/>
      <c r="B828" s="11"/>
      <c r="C828" s="11"/>
      <c r="D828" s="20"/>
    </row>
    <row r="829" spans="1:4">
      <c r="A829" s="19"/>
      <c r="B829" s="11"/>
      <c r="C829" s="11"/>
      <c r="D829" s="20"/>
    </row>
    <row r="830" spans="1:4">
      <c r="A830" s="19"/>
      <c r="B830" s="11"/>
      <c r="C830" s="11"/>
      <c r="D830" s="20"/>
    </row>
    <row r="831" spans="1:4">
      <c r="A831" s="19"/>
      <c r="B831" s="11"/>
      <c r="C831" s="11"/>
      <c r="D831" s="20"/>
    </row>
    <row r="832" spans="1:4">
      <c r="A832" s="19"/>
      <c r="B832" s="11"/>
      <c r="C832" s="11"/>
      <c r="D832" s="20"/>
    </row>
    <row r="833" spans="1:4">
      <c r="A833" s="19"/>
      <c r="B833" s="11"/>
      <c r="C833" s="11"/>
      <c r="D833" s="20"/>
    </row>
    <row r="834" spans="1:4">
      <c r="A834" s="19"/>
      <c r="B834" s="11"/>
      <c r="C834" s="11"/>
      <c r="D834" s="20"/>
    </row>
    <row r="835" spans="1:4">
      <c r="A835" s="19"/>
      <c r="B835" s="11"/>
      <c r="C835" s="11"/>
      <c r="D835" s="20"/>
    </row>
    <row r="836" spans="1:4">
      <c r="A836" s="19"/>
      <c r="B836" s="11"/>
      <c r="C836" s="11"/>
      <c r="D836" s="20"/>
    </row>
    <row r="837" spans="1:4">
      <c r="A837" s="19"/>
      <c r="B837" s="11"/>
      <c r="C837" s="11"/>
      <c r="D837" s="20"/>
    </row>
    <row r="838" spans="1:4">
      <c r="A838" s="19"/>
      <c r="B838" s="11"/>
      <c r="C838" s="11"/>
      <c r="D838" s="20"/>
    </row>
    <row r="839" spans="1:4">
      <c r="A839" s="19"/>
      <c r="B839" s="11"/>
      <c r="C839" s="11"/>
      <c r="D839" s="20"/>
    </row>
    <row r="840" spans="1:4">
      <c r="A840" s="19"/>
      <c r="B840" s="11"/>
      <c r="C840" s="11"/>
      <c r="D840" s="20"/>
    </row>
    <row r="841" spans="1:4">
      <c r="A841" s="19"/>
      <c r="B841" s="11"/>
      <c r="C841" s="11"/>
      <c r="D841" s="20"/>
    </row>
    <row r="842" spans="1:4">
      <c r="A842" s="19"/>
      <c r="B842" s="11"/>
      <c r="C842" s="11"/>
      <c r="D842" s="20"/>
    </row>
    <row r="843" spans="1:4">
      <c r="A843" s="19"/>
      <c r="B843" s="11"/>
      <c r="C843" s="11"/>
      <c r="D843" s="20"/>
    </row>
    <row r="844" spans="1:4">
      <c r="A844" s="19"/>
      <c r="B844" s="11"/>
      <c r="C844" s="11"/>
      <c r="D844" s="20"/>
    </row>
    <row r="845" spans="1:4">
      <c r="A845" s="19"/>
      <c r="B845" s="11"/>
      <c r="C845" s="11"/>
      <c r="D845" s="20"/>
    </row>
    <row r="846" spans="1:4">
      <c r="A846" s="19"/>
      <c r="B846" s="11"/>
      <c r="C846" s="11"/>
      <c r="D846" s="20"/>
    </row>
    <row r="847" spans="1:4">
      <c r="A847" s="19"/>
      <c r="B847" s="11"/>
      <c r="C847" s="11"/>
      <c r="D847" s="20"/>
    </row>
    <row r="848" spans="1:4">
      <c r="A848" s="19"/>
      <c r="B848" s="11"/>
      <c r="C848" s="11"/>
      <c r="D848" s="20"/>
    </row>
    <row r="849" spans="1:4">
      <c r="A849" s="19"/>
      <c r="B849" s="11"/>
      <c r="C849" s="11"/>
      <c r="D849" s="20"/>
    </row>
    <row r="850" spans="1:4">
      <c r="A850" s="19"/>
      <c r="B850" s="11"/>
      <c r="C850" s="11"/>
      <c r="D850" s="20"/>
    </row>
    <row r="851" spans="1:4">
      <c r="A851" s="19"/>
      <c r="B851" s="11"/>
      <c r="C851" s="11"/>
      <c r="D851" s="20"/>
    </row>
    <row r="852" spans="1:4">
      <c r="A852" s="19"/>
      <c r="B852" s="11"/>
      <c r="C852" s="11"/>
      <c r="D852" s="20"/>
    </row>
    <row r="853" spans="1:4">
      <c r="A853" s="19"/>
      <c r="B853" s="11"/>
      <c r="C853" s="11"/>
      <c r="D853" s="20"/>
    </row>
    <row r="854" spans="1:4">
      <c r="A854" s="19"/>
      <c r="B854" s="11"/>
      <c r="C854" s="11"/>
      <c r="D854" s="20"/>
    </row>
    <row r="855" spans="1:4">
      <c r="A855" s="19"/>
      <c r="B855" s="11"/>
      <c r="C855" s="11"/>
      <c r="D855" s="20"/>
    </row>
    <row r="856" spans="1:4">
      <c r="A856" s="19"/>
      <c r="B856" s="11"/>
      <c r="C856" s="11"/>
      <c r="D856" s="20"/>
    </row>
    <row r="857" spans="1:4">
      <c r="A857" s="19"/>
      <c r="B857" s="11"/>
      <c r="C857" s="11"/>
      <c r="D857" s="20"/>
    </row>
    <row r="858" spans="1:4">
      <c r="A858" s="19"/>
      <c r="B858" s="11"/>
      <c r="C858" s="11"/>
      <c r="D858" s="20"/>
    </row>
    <row r="859" spans="1:4">
      <c r="A859" s="19"/>
      <c r="B859" s="11"/>
      <c r="C859" s="11"/>
      <c r="D859" s="20"/>
    </row>
    <row r="860" spans="1:4">
      <c r="A860" s="19"/>
      <c r="B860" s="11"/>
      <c r="C860" s="11"/>
      <c r="D860" s="20"/>
    </row>
    <row r="861" spans="1:4">
      <c r="A861" s="19"/>
      <c r="B861" s="11"/>
      <c r="C861" s="11"/>
      <c r="D861" s="20"/>
    </row>
    <row r="862" spans="1:4">
      <c r="A862" s="19"/>
      <c r="B862" s="11"/>
      <c r="C862" s="11"/>
      <c r="D862" s="20"/>
    </row>
    <row r="863" spans="1:4">
      <c r="A863" s="19"/>
      <c r="B863" s="11"/>
      <c r="C863" s="11"/>
      <c r="D863" s="20"/>
    </row>
    <row r="864" spans="1:4">
      <c r="A864" s="19"/>
      <c r="B864" s="11"/>
      <c r="C864" s="11"/>
      <c r="D864" s="20"/>
    </row>
    <row r="865" spans="1:4">
      <c r="A865" s="19"/>
      <c r="B865" s="11"/>
      <c r="C865" s="11"/>
      <c r="D865" s="20"/>
    </row>
    <row r="866" spans="1:4">
      <c r="A866" s="19"/>
      <c r="B866" s="11"/>
      <c r="C866" s="11"/>
      <c r="D866" s="20"/>
    </row>
    <row r="867" spans="1:4">
      <c r="A867" s="19"/>
      <c r="B867" s="11"/>
      <c r="C867" s="11"/>
      <c r="D867" s="20"/>
    </row>
    <row r="868" spans="1:4">
      <c r="A868" s="19"/>
      <c r="B868" s="11"/>
      <c r="C868" s="11"/>
      <c r="D868" s="20"/>
    </row>
    <row r="869" spans="1:4">
      <c r="A869" s="19"/>
      <c r="B869" s="11"/>
      <c r="C869" s="11"/>
      <c r="D869" s="20"/>
    </row>
    <row r="870" spans="1:4">
      <c r="A870" s="19"/>
      <c r="B870" s="11"/>
      <c r="C870" s="11"/>
      <c r="D870" s="20"/>
    </row>
    <row r="871" spans="1:4">
      <c r="A871" s="19"/>
      <c r="B871" s="11"/>
      <c r="C871" s="11"/>
      <c r="D871" s="20"/>
    </row>
    <row r="872" spans="1:4">
      <c r="A872" s="19"/>
      <c r="B872" s="11"/>
      <c r="C872" s="11"/>
      <c r="D872" s="20"/>
    </row>
    <row r="873" spans="1:4">
      <c r="A873" s="19"/>
      <c r="B873" s="11"/>
      <c r="C873" s="11"/>
      <c r="D873" s="20"/>
    </row>
    <row r="874" spans="1:4">
      <c r="A874" s="19"/>
      <c r="B874" s="11"/>
      <c r="C874" s="11"/>
      <c r="D874" s="20"/>
    </row>
    <row r="875" spans="1:4">
      <c r="A875" s="19"/>
      <c r="B875" s="11"/>
      <c r="C875" s="11"/>
      <c r="D875" s="20"/>
    </row>
    <row r="876" spans="1:4">
      <c r="A876" s="19"/>
      <c r="B876" s="11"/>
      <c r="C876" s="11"/>
      <c r="D876" s="20"/>
    </row>
    <row r="877" spans="1:4">
      <c r="A877" s="19"/>
      <c r="B877" s="11"/>
      <c r="C877" s="11"/>
      <c r="D877" s="20"/>
    </row>
    <row r="878" spans="1:4">
      <c r="A878" s="19"/>
      <c r="B878" s="11"/>
      <c r="C878" s="11"/>
      <c r="D878" s="20"/>
    </row>
    <row r="879" spans="1:4">
      <c r="A879" s="19"/>
      <c r="B879" s="11"/>
      <c r="C879" s="11"/>
      <c r="D879" s="20"/>
    </row>
    <row r="880" spans="1:4">
      <c r="A880" s="19"/>
      <c r="B880" s="11"/>
      <c r="C880" s="11"/>
      <c r="D880" s="20"/>
    </row>
    <row r="881" spans="1:4">
      <c r="A881" s="19"/>
      <c r="B881" s="11"/>
      <c r="C881" s="11"/>
      <c r="D881" s="20"/>
    </row>
    <row r="882" spans="1:4">
      <c r="A882" s="19"/>
      <c r="B882" s="11"/>
      <c r="C882" s="11"/>
      <c r="D882" s="20"/>
    </row>
    <row r="883" spans="1:4">
      <c r="A883" s="19"/>
      <c r="B883" s="11"/>
      <c r="C883" s="11"/>
      <c r="D883" s="20"/>
    </row>
    <row r="884" spans="1:4">
      <c r="A884" s="19"/>
      <c r="B884" s="11"/>
      <c r="C884" s="11"/>
      <c r="D884" s="20"/>
    </row>
    <row r="885" spans="1:4">
      <c r="A885" s="19"/>
      <c r="B885" s="11"/>
      <c r="C885" s="11"/>
      <c r="D885" s="20"/>
    </row>
    <row r="886" spans="1:4">
      <c r="A886" s="19"/>
      <c r="B886" s="11"/>
      <c r="C886" s="11"/>
      <c r="D886" s="20"/>
    </row>
    <row r="887" spans="1:4">
      <c r="A887" s="19"/>
      <c r="B887" s="11"/>
      <c r="C887" s="11"/>
      <c r="D887" s="20"/>
    </row>
    <row r="888" spans="1:4">
      <c r="A888" s="19"/>
      <c r="B888" s="11"/>
      <c r="C888" s="11"/>
      <c r="D888" s="20"/>
    </row>
    <row r="889" spans="1:4">
      <c r="A889" s="19"/>
      <c r="B889" s="11"/>
      <c r="C889" s="11"/>
      <c r="D889" s="20"/>
    </row>
    <row r="890" spans="1:4">
      <c r="A890" s="19"/>
      <c r="B890" s="11"/>
      <c r="C890" s="11"/>
      <c r="D890" s="20"/>
    </row>
    <row r="891" spans="1:4">
      <c r="A891" s="19"/>
      <c r="B891" s="11"/>
      <c r="C891" s="11"/>
      <c r="D891" s="20"/>
    </row>
    <row r="892" spans="1:4">
      <c r="A892" s="19"/>
      <c r="B892" s="11"/>
      <c r="C892" s="11"/>
      <c r="D892" s="20"/>
    </row>
    <row r="893" spans="1:4">
      <c r="A893" s="19"/>
      <c r="B893" s="11"/>
      <c r="C893" s="11"/>
      <c r="D893" s="20"/>
    </row>
    <row r="894" spans="1:4">
      <c r="A894" s="19"/>
      <c r="B894" s="11"/>
      <c r="C894" s="11"/>
      <c r="D894" s="20"/>
    </row>
    <row r="895" spans="1:4">
      <c r="A895" s="19"/>
      <c r="B895" s="11"/>
      <c r="C895" s="11"/>
      <c r="D895" s="20"/>
    </row>
    <row r="896" spans="1:4">
      <c r="A896" s="19"/>
      <c r="B896" s="11"/>
      <c r="C896" s="11"/>
      <c r="D896" s="20"/>
    </row>
    <row r="897" spans="1:4">
      <c r="A897" s="19"/>
      <c r="B897" s="11"/>
      <c r="C897" s="11"/>
      <c r="D897" s="20"/>
    </row>
    <row r="898" spans="1:4">
      <c r="A898" s="19"/>
      <c r="B898" s="11"/>
      <c r="C898" s="11"/>
      <c r="D898" s="20"/>
    </row>
    <row r="899" spans="1:4">
      <c r="A899" s="19"/>
      <c r="B899" s="11"/>
      <c r="C899" s="11"/>
      <c r="D899" s="20"/>
    </row>
    <row r="900" spans="1:4">
      <c r="A900" s="19"/>
      <c r="B900" s="11"/>
      <c r="C900" s="11"/>
      <c r="D900" s="20"/>
    </row>
    <row r="901" spans="1:4">
      <c r="A901" s="19"/>
      <c r="B901" s="11"/>
      <c r="C901" s="11"/>
      <c r="D901" s="20"/>
    </row>
    <row r="902" spans="1:4">
      <c r="A902" s="19"/>
      <c r="B902" s="11"/>
      <c r="C902" s="11"/>
      <c r="D902" s="20"/>
    </row>
    <row r="903" spans="1:4">
      <c r="A903" s="19"/>
      <c r="B903" s="11"/>
      <c r="C903" s="11"/>
      <c r="D903" s="20"/>
    </row>
    <row r="904" spans="1:4">
      <c r="A904" s="19"/>
      <c r="B904" s="11"/>
      <c r="C904" s="11"/>
      <c r="D904" s="20"/>
    </row>
    <row r="905" spans="1:4">
      <c r="A905" s="19"/>
      <c r="B905" s="11"/>
      <c r="C905" s="11"/>
      <c r="D905" s="20"/>
    </row>
    <row r="906" spans="1:4">
      <c r="A906" s="19"/>
      <c r="B906" s="11"/>
      <c r="C906" s="11"/>
      <c r="D906" s="20"/>
    </row>
    <row r="907" spans="1:4">
      <c r="A907" s="19"/>
      <c r="B907" s="11"/>
      <c r="C907" s="11"/>
      <c r="D907" s="20"/>
    </row>
    <row r="908" spans="1:4">
      <c r="A908" s="19"/>
      <c r="B908" s="11"/>
      <c r="C908" s="11"/>
      <c r="D908" s="20"/>
    </row>
    <row r="909" spans="1:4">
      <c r="A909" s="19"/>
      <c r="B909" s="11"/>
      <c r="C909" s="11"/>
      <c r="D909" s="20"/>
    </row>
    <row r="910" spans="1:4">
      <c r="A910" s="19"/>
      <c r="B910" s="11"/>
      <c r="C910" s="11"/>
      <c r="D910" s="20"/>
    </row>
    <row r="911" spans="1:4">
      <c r="A911" s="19"/>
      <c r="B911" s="11"/>
      <c r="C911" s="11"/>
      <c r="D911" s="20"/>
    </row>
    <row r="912" spans="1:4">
      <c r="A912" s="19"/>
      <c r="B912" s="11"/>
      <c r="C912" s="11"/>
      <c r="D912" s="20"/>
    </row>
    <row r="913" spans="1:4">
      <c r="A913" s="19"/>
      <c r="B913" s="11"/>
      <c r="C913" s="11"/>
      <c r="D913" s="20"/>
    </row>
    <row r="914" spans="1:4">
      <c r="A914" s="19"/>
      <c r="B914" s="11"/>
      <c r="C914" s="11"/>
      <c r="D914" s="20"/>
    </row>
    <row r="915" spans="1:4">
      <c r="A915" s="19"/>
      <c r="B915" s="11"/>
      <c r="C915" s="11"/>
      <c r="D915" s="20"/>
    </row>
    <row r="916" spans="1:4">
      <c r="A916" s="19"/>
      <c r="B916" s="11"/>
      <c r="C916" s="11"/>
      <c r="D916" s="20"/>
    </row>
    <row r="917" spans="1:4">
      <c r="A917" s="19"/>
      <c r="B917" s="11"/>
      <c r="C917" s="11"/>
      <c r="D917" s="20"/>
    </row>
    <row r="918" spans="1:4">
      <c r="A918" s="19"/>
      <c r="B918" s="11"/>
      <c r="C918" s="11"/>
      <c r="D918" s="20"/>
    </row>
    <row r="919" spans="1:4">
      <c r="A919" s="19"/>
      <c r="B919" s="11"/>
      <c r="C919" s="11"/>
      <c r="D919" s="20"/>
    </row>
    <row r="920" spans="1:4">
      <c r="A920" s="19"/>
      <c r="B920" s="11"/>
      <c r="C920" s="11"/>
      <c r="D920" s="20"/>
    </row>
    <row r="921" spans="1:4">
      <c r="A921" s="19"/>
      <c r="B921" s="11"/>
      <c r="C921" s="11"/>
      <c r="D921" s="20"/>
    </row>
    <row r="922" spans="1:4">
      <c r="A922" s="19"/>
      <c r="B922" s="11"/>
      <c r="C922" s="11"/>
      <c r="D922" s="20"/>
    </row>
    <row r="923" spans="1:4">
      <c r="A923" s="19"/>
      <c r="B923" s="11"/>
      <c r="C923" s="11"/>
      <c r="D923" s="20"/>
    </row>
    <row r="924" spans="1:4">
      <c r="A924" s="19"/>
      <c r="B924" s="11"/>
      <c r="C924" s="11"/>
      <c r="D924" s="20"/>
    </row>
    <row r="925" spans="1:4">
      <c r="A925" s="19"/>
      <c r="B925" s="11"/>
      <c r="C925" s="11"/>
      <c r="D925" s="20"/>
    </row>
    <row r="926" spans="1:4">
      <c r="A926" s="19"/>
      <c r="B926" s="11"/>
      <c r="C926" s="11"/>
      <c r="D926" s="20"/>
    </row>
    <row r="927" spans="1:4">
      <c r="A927" s="19"/>
      <c r="B927" s="11"/>
      <c r="C927" s="11"/>
      <c r="D927" s="20"/>
    </row>
    <row r="928" spans="1:4">
      <c r="A928" s="19"/>
      <c r="B928" s="11"/>
      <c r="C928" s="11"/>
      <c r="D928" s="20"/>
    </row>
    <row r="929" spans="1:4">
      <c r="A929" s="19"/>
      <c r="B929" s="11"/>
      <c r="C929" s="11"/>
      <c r="D929" s="20"/>
    </row>
    <row r="930" spans="1:4">
      <c r="A930" s="19"/>
      <c r="B930" s="11"/>
      <c r="C930" s="11"/>
      <c r="D930" s="20"/>
    </row>
    <row r="931" spans="1:4">
      <c r="A931" s="19"/>
      <c r="B931" s="11"/>
      <c r="C931" s="11"/>
      <c r="D931" s="20"/>
    </row>
    <row r="932" spans="1:4">
      <c r="A932" s="19"/>
      <c r="B932" s="11"/>
      <c r="C932" s="11"/>
      <c r="D932" s="20"/>
    </row>
    <row r="933" spans="1:4">
      <c r="A933" s="19"/>
      <c r="B933" s="11"/>
      <c r="C933" s="11"/>
      <c r="D933" s="20"/>
    </row>
    <row r="934" spans="1:4">
      <c r="A934" s="19"/>
      <c r="B934" s="11"/>
      <c r="C934" s="11"/>
      <c r="D934" s="20"/>
    </row>
    <row r="935" spans="1:4">
      <c r="A935" s="19"/>
      <c r="B935" s="11"/>
      <c r="C935" s="11"/>
      <c r="D935" s="20"/>
    </row>
    <row r="936" spans="1:4">
      <c r="A936" s="19"/>
      <c r="B936" s="11"/>
      <c r="C936" s="11"/>
      <c r="D936" s="20"/>
    </row>
    <row r="937" spans="1:4">
      <c r="A937" s="19"/>
      <c r="B937" s="11"/>
      <c r="C937" s="11"/>
      <c r="D937" s="20"/>
    </row>
    <row r="938" spans="1:4">
      <c r="A938" s="19"/>
      <c r="B938" s="11"/>
      <c r="C938" s="11"/>
      <c r="D938" s="20"/>
    </row>
    <row r="939" spans="1:4">
      <c r="A939" s="19"/>
      <c r="B939" s="11"/>
      <c r="C939" s="11"/>
      <c r="D939" s="20"/>
    </row>
    <row r="940" spans="1:4">
      <c r="A940" s="19"/>
      <c r="B940" s="11"/>
      <c r="C940" s="11"/>
      <c r="D940" s="20"/>
    </row>
    <row r="941" spans="1:4">
      <c r="A941" s="19"/>
      <c r="B941" s="11"/>
      <c r="C941" s="11"/>
      <c r="D941" s="20"/>
    </row>
    <row r="942" spans="1:4">
      <c r="A942" s="19"/>
      <c r="B942" s="11"/>
      <c r="C942" s="11"/>
      <c r="D942" s="20"/>
    </row>
    <row r="943" spans="1:4">
      <c r="A943" s="19"/>
      <c r="B943" s="11"/>
      <c r="C943" s="11"/>
      <c r="D943" s="20"/>
    </row>
    <row r="944" spans="1:4">
      <c r="A944" s="19"/>
      <c r="B944" s="11"/>
      <c r="C944" s="11"/>
      <c r="D944" s="20"/>
    </row>
    <row r="945" spans="1:4">
      <c r="A945" s="19"/>
      <c r="B945" s="11"/>
      <c r="C945" s="11"/>
      <c r="D945" s="20"/>
    </row>
    <row r="946" spans="1:4">
      <c r="A946" s="19"/>
      <c r="B946" s="11"/>
      <c r="C946" s="11"/>
      <c r="D946" s="20"/>
    </row>
    <row r="947" spans="1:4">
      <c r="A947" s="19"/>
      <c r="B947" s="11"/>
      <c r="C947" s="11"/>
      <c r="D947" s="20"/>
    </row>
    <row r="948" spans="1:4">
      <c r="A948" s="19"/>
      <c r="B948" s="11"/>
      <c r="C948" s="11"/>
      <c r="D948" s="20"/>
    </row>
    <row r="949" spans="1:4">
      <c r="A949" s="19"/>
      <c r="B949" s="11"/>
      <c r="C949" s="11"/>
      <c r="D949" s="20"/>
    </row>
    <row r="950" spans="1:4">
      <c r="A950" s="19"/>
      <c r="B950" s="11"/>
      <c r="C950" s="11"/>
      <c r="D950" s="20"/>
    </row>
    <row r="951" spans="1:4">
      <c r="A951" s="19"/>
      <c r="B951" s="11"/>
      <c r="C951" s="11"/>
      <c r="D951" s="20"/>
    </row>
    <row r="952" spans="1:4">
      <c r="A952" s="19"/>
      <c r="B952" s="11"/>
      <c r="C952" s="11"/>
      <c r="D952" s="20"/>
    </row>
    <row r="953" spans="1:4">
      <c r="A953" s="19"/>
      <c r="B953" s="11"/>
      <c r="C953" s="11"/>
      <c r="D953" s="20"/>
    </row>
    <row r="954" spans="1:4">
      <c r="A954" s="19"/>
      <c r="B954" s="11"/>
      <c r="C954" s="11"/>
      <c r="D954" s="20"/>
    </row>
    <row r="955" spans="1:4">
      <c r="A955" s="19"/>
      <c r="B955" s="11"/>
      <c r="C955" s="11"/>
      <c r="D955" s="20"/>
    </row>
    <row r="956" spans="1:4">
      <c r="A956" s="19"/>
      <c r="B956" s="11"/>
      <c r="C956" s="11"/>
      <c r="D956" s="20"/>
    </row>
    <row r="957" spans="1:4">
      <c r="A957" s="19"/>
      <c r="B957" s="11"/>
      <c r="C957" s="11"/>
      <c r="D957" s="20"/>
    </row>
    <row r="958" spans="1:4">
      <c r="A958" s="19"/>
      <c r="B958" s="11"/>
      <c r="C958" s="11"/>
      <c r="D958" s="20"/>
    </row>
    <row r="959" spans="1:4">
      <c r="A959" s="19"/>
      <c r="B959" s="11"/>
      <c r="C959" s="11"/>
      <c r="D959" s="20"/>
    </row>
    <row r="960" spans="1:4">
      <c r="A960" s="19"/>
      <c r="B960" s="11"/>
      <c r="C960" s="11"/>
      <c r="D960" s="20"/>
    </row>
    <row r="961" spans="1:4">
      <c r="A961" s="19"/>
      <c r="B961" s="11"/>
      <c r="C961" s="11"/>
      <c r="D961" s="20"/>
    </row>
    <row r="962" spans="1:4">
      <c r="A962" s="19"/>
      <c r="B962" s="11"/>
      <c r="C962" s="11"/>
      <c r="D962" s="20"/>
    </row>
    <row r="963" spans="1:4">
      <c r="A963" s="19"/>
      <c r="B963" s="11"/>
      <c r="C963" s="11"/>
      <c r="D963" s="20"/>
    </row>
    <row r="964" spans="1:4">
      <c r="A964" s="19"/>
      <c r="B964" s="11"/>
      <c r="C964" s="11"/>
      <c r="D964" s="20"/>
    </row>
    <row r="965" spans="1:4">
      <c r="A965" s="19"/>
      <c r="B965" s="11"/>
      <c r="C965" s="11"/>
      <c r="D965" s="20"/>
    </row>
    <row r="966" spans="1:4">
      <c r="A966" s="19"/>
      <c r="B966" s="11"/>
      <c r="C966" s="11"/>
      <c r="D966" s="20"/>
    </row>
    <row r="967" spans="1:4">
      <c r="A967" s="19"/>
      <c r="B967" s="11"/>
      <c r="C967" s="11"/>
      <c r="D967" s="20"/>
    </row>
    <row r="968" spans="1:4">
      <c r="A968" s="19"/>
      <c r="B968" s="11"/>
      <c r="C968" s="11"/>
      <c r="D968" s="20"/>
    </row>
    <row r="969" spans="1:4">
      <c r="A969" s="19"/>
      <c r="B969" s="11"/>
      <c r="C969" s="11"/>
      <c r="D969" s="20"/>
    </row>
    <row r="970" spans="1:4">
      <c r="A970" s="19"/>
      <c r="B970" s="11"/>
      <c r="C970" s="11"/>
      <c r="D970" s="20"/>
    </row>
    <row r="971" spans="1:4">
      <c r="A971" s="19"/>
      <c r="B971" s="11"/>
      <c r="C971" s="11"/>
      <c r="D971" s="20"/>
    </row>
    <row r="972" spans="1:4">
      <c r="A972" s="19"/>
      <c r="B972" s="11"/>
      <c r="C972" s="11"/>
      <c r="D972" s="20"/>
    </row>
    <row r="973" spans="1:4">
      <c r="A973" s="19"/>
      <c r="B973" s="11"/>
      <c r="C973" s="11"/>
      <c r="D973" s="20"/>
    </row>
    <row r="974" spans="1:4">
      <c r="A974" s="19"/>
      <c r="B974" s="11"/>
      <c r="C974" s="11"/>
      <c r="D974" s="20"/>
    </row>
    <row r="975" spans="1:4">
      <c r="A975" s="19"/>
      <c r="B975" s="11"/>
      <c r="C975" s="11"/>
      <c r="D975" s="20"/>
    </row>
    <row r="976" spans="1:4">
      <c r="A976" s="19"/>
      <c r="B976" s="11"/>
      <c r="C976" s="11"/>
      <c r="D976" s="20"/>
    </row>
    <row r="977" spans="1:4">
      <c r="A977" s="19"/>
      <c r="B977" s="11"/>
      <c r="C977" s="11"/>
      <c r="D977" s="20"/>
    </row>
    <row r="978" spans="1:4">
      <c r="A978" s="19"/>
      <c r="B978" s="11"/>
      <c r="C978" s="11"/>
      <c r="D978" s="20"/>
    </row>
    <row r="979" spans="1:4">
      <c r="A979" s="19"/>
      <c r="B979" s="11"/>
      <c r="C979" s="11"/>
      <c r="D979" s="20"/>
    </row>
    <row r="980" spans="1:4">
      <c r="A980" s="19"/>
      <c r="B980" s="11"/>
      <c r="C980" s="11"/>
      <c r="D980" s="20"/>
    </row>
    <row r="981" spans="1:4">
      <c r="A981" s="19"/>
      <c r="B981" s="11"/>
      <c r="C981" s="11"/>
      <c r="D981" s="20"/>
    </row>
    <row r="982" spans="1:4">
      <c r="A982" s="19"/>
      <c r="B982" s="11"/>
      <c r="C982" s="11"/>
      <c r="D982" s="20"/>
    </row>
    <row r="983" spans="1:4">
      <c r="A983" s="19"/>
      <c r="B983" s="11"/>
      <c r="C983" s="11"/>
      <c r="D983" s="20"/>
    </row>
    <row r="984" spans="1:4">
      <c r="A984" s="19"/>
      <c r="B984" s="11"/>
      <c r="C984" s="11"/>
      <c r="D984" s="20"/>
    </row>
    <row r="985" spans="1:4">
      <c r="A985" s="19"/>
      <c r="B985" s="11"/>
      <c r="C985" s="11"/>
      <c r="D985" s="20"/>
    </row>
    <row r="986" spans="1:4">
      <c r="A986" s="19"/>
      <c r="B986" s="11"/>
      <c r="C986" s="11"/>
      <c r="D986" s="20"/>
    </row>
    <row r="987" spans="1:4">
      <c r="A987" s="19"/>
      <c r="B987" s="11"/>
      <c r="C987" s="11"/>
      <c r="D987" s="20"/>
    </row>
    <row r="988" spans="1:4">
      <c r="A988" s="19"/>
      <c r="B988" s="11"/>
      <c r="C988" s="11"/>
      <c r="D988" s="20"/>
    </row>
    <row r="989" spans="1:4">
      <c r="A989" s="19"/>
      <c r="B989" s="11"/>
      <c r="C989" s="11"/>
      <c r="D989" s="20"/>
    </row>
    <row r="990" spans="1:4">
      <c r="A990" s="19"/>
      <c r="B990" s="11"/>
      <c r="C990" s="11"/>
      <c r="D990" s="20"/>
    </row>
    <row r="991" spans="1:4">
      <c r="A991" s="19"/>
      <c r="B991" s="11"/>
      <c r="C991" s="11"/>
      <c r="D991" s="20"/>
    </row>
    <row r="992" spans="1:4">
      <c r="A992" s="19"/>
      <c r="B992" s="11"/>
      <c r="C992" s="11"/>
      <c r="D992" s="20"/>
    </row>
    <row r="993" spans="1:4">
      <c r="A993" s="19"/>
      <c r="B993" s="11"/>
      <c r="C993" s="11"/>
      <c r="D993" s="20"/>
    </row>
    <row r="994" spans="1:4">
      <c r="A994" s="19"/>
      <c r="B994" s="11"/>
      <c r="C994" s="11"/>
      <c r="D994" s="20"/>
    </row>
    <row r="995" spans="1:4">
      <c r="A995" s="19"/>
      <c r="B995" s="11"/>
      <c r="C995" s="11"/>
      <c r="D995" s="20"/>
    </row>
    <row r="996" spans="1:4">
      <c r="A996" s="19"/>
      <c r="B996" s="11"/>
      <c r="C996" s="11"/>
      <c r="D996" s="20"/>
    </row>
    <row r="997" spans="1:4">
      <c r="A997" s="19"/>
      <c r="B997" s="11"/>
      <c r="C997" s="11"/>
      <c r="D997" s="20"/>
    </row>
    <row r="998" spans="1:4">
      <c r="A998" s="19"/>
      <c r="B998" s="11"/>
      <c r="C998" s="11"/>
      <c r="D998" s="20"/>
    </row>
    <row r="999" spans="1:4">
      <c r="A999" s="19"/>
      <c r="B999" s="11"/>
      <c r="C999" s="11"/>
      <c r="D999" s="20"/>
    </row>
    <row r="1000" spans="1:4">
      <c r="A1000" s="21"/>
      <c r="B1000" s="22"/>
      <c r="C1000" s="22"/>
      <c r="D1000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2026-09-02T17:32:30Z</dcterms:created>
  <dcterms:modified xsi:type="dcterms:W3CDTF">2026-09-16T09:05:46Z</dcterms:modified>
  <cp:category/>
  <cp:contentStatus/>
</cp:coreProperties>
</file>